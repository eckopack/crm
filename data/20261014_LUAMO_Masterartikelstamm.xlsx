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95e3ea9c9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leitung" sheetId="1" r:id="R55da85ba43d14257"/>
    <x:sheet xmlns:r="http://schemas.openxmlformats.org/officeDocument/2006/relationships" name="Artikel" sheetId="2" r:id="Ra71cb3a45d354c49"/>
    <x:sheet xmlns:r="http://schemas.openxmlformats.org/officeDocument/2006/relationships" name="VK-Staffeln" sheetId="3" r:id="R45bf3df32e624211"/>
    <x:sheet xmlns:r="http://schemas.openxmlformats.org/officeDocument/2006/relationships" name="Besteck-Staffeln" sheetId="4" r:id="R90b536689e7f4a26"/>
    <x:sheet xmlns:r="http://schemas.openxmlformats.org/officeDocument/2006/relationships" name="Kanalpreise" sheetId="5" r:id="Rb877c7a77e594c95"/>
    <x:sheet xmlns:r="http://schemas.openxmlformats.org/officeDocument/2006/relationships" name="Kundenartikelliste" sheetId="6" r:id="R0693e133fd8b44be"/>
    <x:sheet xmlns:r="http://schemas.openxmlformats.org/officeDocument/2006/relationships" name="Stammdaten NEU" sheetId="7" r:id="R15d6192d343a4e92"/>
    <x:sheet xmlns:r="http://schemas.openxmlformats.org/officeDocument/2006/relationships" name="Verpackung Logistik" sheetId="8" r:id="R22476bda17de4297"/>
    <x:sheet xmlns:r="http://schemas.openxmlformats.org/officeDocument/2006/relationships" name="Compliance Freigaben" sheetId="9" r:id="Rf19be0283e874cd4"/>
    <x:sheet xmlns:r="http://schemas.openxmlformats.org/officeDocument/2006/relationships" name="Marktplätze ERP" sheetId="10" r:id="R4969fb0da891440d"/>
    <x:sheet xmlns:r="http://schemas.openxmlformats.org/officeDocument/2006/relationships" name="Offene Punkte" sheetId="11" r:id="R3a342b6be1f34081"/>
    <x:sheet xmlns:r="http://schemas.openxmlformats.org/officeDocument/2006/relationships" name="Sprachvarianten DE EN" sheetId="12" r:id="Rdb7a359bb91543f8"/>
    <x:sheet xmlns:r="http://schemas.openxmlformats.org/officeDocument/2006/relationships" name="Musterbox Beileger" sheetId="13" r:id="R53a478b342c8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 &quot;€&quot;"/>
    <x:numFmt numFmtId="201" formatCode="0.00000"/>
    <x:numFmt numFmtId="202" formatCode="0.00%"/>
    <x:numFmt numFmtId="203" formatCode="0.00"/>
    <x:numFmt numFmtId="204" formatCode="#,##0.00 &quot;€&quot;"/>
  </x:numFmts>
  <x:fonts count="12">
    <x:font>
      <x:sz val="11"/>
      <x:color theme="1"/>
      <x:name val="Calibri"/>
    </x:font>
    <x:font>
      <x:b/>
      <x:sz val="24"/>
      <x:color rgb="FF3C3C3B"/>
      <x:name val="Arial"/>
    </x:font>
    <x:font>
      <x:sz val="11"/>
      <x:color rgb="FF3C3C3B"/>
      <x:name val="Arial"/>
    </x:font>
    <x:font>
      <x:b/>
      <x:sz val="12"/>
      <x:color rgb="FF3C3C3B"/>
      <x:name val="Arial"/>
    </x:font>
    <x:font>
      <x:b/>
      <x:sz val="10.5"/>
      <x:color rgb="FF3C3C3B"/>
      <x:name val="Arial"/>
    </x:font>
    <x:font>
      <x:i/>
      <x:sz val="10.5"/>
      <x:color rgb="FF808080"/>
      <x:name val="Arial"/>
    </x:font>
    <x:font>
      <x:sz val="10.5"/>
      <x:color rgb="FF3C3C3B"/>
      <x:name val="Arial"/>
    </x:font>
    <x:font>
      <x:b/>
      <x:sz val="16"/>
      <x:color rgb="FFFFFFFF"/>
      <x:name val="Calibri"/>
    </x:font>
    <x:font>
      <x:sz val="11"/>
      <x:color rgb="FF315067"/>
      <x:name val="Calibri"/>
    </x:font>
    <x:font>
      <x:b/>
      <x:sz val="11"/>
      <x:color rgb="FFFFFFFF"/>
      <x:name val="Calibri"/>
    </x:font>
    <x:font>
      <x:b/>
      <x:sz val="10.5"/>
      <x:color rgb="FFFFFFFF"/>
      <x:name val="Arial"/>
    </x:font>
    <x:font>
      <x:sz val="11"/>
      <x:color rgb="FF27485C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AFAFA"/>
      </x:patternFill>
    </x:fill>
    <x:fill>
      <x:patternFill patternType="solid">
        <x:fgColor rgb="FF123047"/>
      </x:patternFill>
    </x:fill>
    <x:fill>
      <x:patternFill patternType="solid">
        <x:fgColor rgb="FFEAF2F7"/>
      </x:patternFill>
    </x:fill>
    <x:fill>
      <x:patternFill patternType="solid">
        <x:fgColor rgb="FF1D5670"/>
      </x:patternFill>
    </x:fill>
    <x:fill>
      <x:patternFill patternType="solid">
        <x:fgColor rgb="FF15344B"/>
      </x:patternFill>
    </x:fill>
    <x:fill>
      <x:patternFill patternType="solid">
        <x:fgColor rgb="FF17324D"/>
      </x:patternFill>
    </x:fill>
    <x:fill>
      <x:patternFill patternType="solid">
        <x:fgColor rgb="FF24607A"/>
      </x:patternFill>
    </x:fill>
    <x:fill>
      <x:patternFill patternType="solid">
        <x:fgColor rgb="FFEEF4F7"/>
      </x:patternFill>
    </x:fill>
    <x:fill>
      <x:patternFill patternType="solid">
        <x:fgColor rgb="FF17324D"/>
      </x:patternFill>
    </x:fill>
    <x:fill>
      <x:patternFill patternType="solid">
        <x:fgColor rgb="FF174766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2">
    <x:border/>
    <x:border>
      <x:bottom style="thin">
        <x:color rgb="FF05DB8E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2" borderId="1" xfId="0" applyAlignment="1">
      <x:alignment vertical="center" wrapText="1"/>
    </x:xf>
    <x:xf numFmtId="0" fontId="4" fillId="3" borderId="1" xfId="0" applyAlignment="1">
      <x:alignment vertical="center" wrapText="1"/>
    </x:xf>
    <x:xf numFmtId="0" fontId="5" fillId="4" borderId="0" xfId="0"/>
    <x:xf numFmtId="4" fontId="5" fillId="4" borderId="0" xfId="0"/>
    <x:xf numFmtId="1" fontId="5" fillId="4" borderId="0" xfId="0"/>
    <x:xf numFmtId="3" fontId="5" fillId="4" borderId="0" xfId="0"/>
    <x:xf numFmtId="0" fontId="6" fillId="0" borderId="0" xfId="0"/>
    <x:xf numFmtId="4" fontId="6" fillId="0" borderId="0" xfId="0"/>
    <x:xf numFmtId="1" fontId="6" fillId="0" borderId="0" xfId="0"/>
    <x:xf numFmtId="3" fontId="6" fillId="0" borderId="0" xfId="0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4" fontId="5" fillId="4" borderId="0" xfId="0" applyNumberFormat="1" applyFont="1" applyFill="1" applyBorder="1"/>
    <x:xf numFmtId="1" fontId="5" fillId="4" borderId="0" xfId="0" applyNumberFormat="1" applyFont="1" applyFill="1" applyBorder="1"/>
    <x:xf numFmtId="3" fontId="5" fillId="4" borderId="0" xfId="0" applyNumberFormat="1" applyFont="1" applyFill="1" applyBorder="1"/>
    <x:xf numFmtId="0" fontId="6" fillId="0" borderId="0" xfId="0" applyNumberFormat="1" applyFont="1" applyFill="1" applyBorder="1"/>
    <x:xf numFmtId="4" fontId="6" fillId="0" borderId="0" xfId="0" applyNumberFormat="1" applyFont="1" applyFill="1" applyBorder="1"/>
    <x:xf numFmtId="1" fontId="6" fillId="0" borderId="0" xfId="0" applyNumberFormat="1" applyFont="1" applyFill="1" applyBorder="1"/>
    <x:xf numFmtId="3" fontId="6" fillId="0" borderId="0" xfId="0" applyNumberFormat="1" applyFont="1" applyFill="1" applyBorder="1"/>
    <x:xf numFmtId="200" fontId="5" fillId="4" borderId="0" xfId="0" applyNumberFormat="1" applyFont="1" applyFill="1" applyBorder="1"/>
    <x:xf numFmtId="200" fontId="6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8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/>
    <x:xf numFmtId="201" fontId="6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4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3498cd9714f4e" /><Relationship Type="http://schemas.openxmlformats.org/officeDocument/2006/relationships/theme" Target="/xl/theme/theme1.xml" Id="R89aa2ad1e66e46fb" /><Relationship Type="http://schemas.openxmlformats.org/officeDocument/2006/relationships/sharedStrings" Target="/xl/sharedStrings.xml" Id="R00b4730b10fb42e0" /><Relationship Type="http://schemas.openxmlformats.org/officeDocument/2006/relationships/worksheet" Target="/xl/worksheets/sheet1.xml" Id="R55da85ba43d14257" /><Relationship Type="http://schemas.openxmlformats.org/officeDocument/2006/relationships/worksheet" Target="/xl/worksheets/sheet2.xml" Id="Ra71cb3a45d354c49" /><Relationship Type="http://schemas.openxmlformats.org/officeDocument/2006/relationships/worksheet" Target="/xl/worksheets/sheet3.xml" Id="R45bf3df32e624211" /><Relationship Type="http://schemas.openxmlformats.org/officeDocument/2006/relationships/worksheet" Target="/xl/worksheets/sheet4.xml" Id="R90b536689e7f4a26" /><Relationship Type="http://schemas.openxmlformats.org/officeDocument/2006/relationships/worksheet" Target="/xl/worksheets/sheet5.xml" Id="Rb877c7a77e594c95" /><Relationship Type="http://schemas.openxmlformats.org/officeDocument/2006/relationships/worksheet" Target="/xl/worksheets/sheet6.xml" Id="R0693e133fd8b44be" /><Relationship Type="http://schemas.openxmlformats.org/officeDocument/2006/relationships/worksheet" Target="/xl/worksheets/sheet7.xml" Id="R15d6192d343a4e92" /><Relationship Type="http://schemas.openxmlformats.org/officeDocument/2006/relationships/worksheet" Target="/xl/worksheets/sheet8.xml" Id="R22476bda17de4297" /><Relationship Type="http://schemas.openxmlformats.org/officeDocument/2006/relationships/worksheet" Target="/xl/worksheets/sheet9.xml" Id="Rf19be0283e874cd4" /><Relationship Type="http://schemas.openxmlformats.org/officeDocument/2006/relationships/worksheet" Target="/xl/worksheets/sheet10.xml" Id="R4969fb0da891440d" /><Relationship Type="http://schemas.openxmlformats.org/officeDocument/2006/relationships/worksheet" Target="/xl/worksheets/sheet11.xml" Id="R3a342b6be1f34081" /><Relationship Type="http://schemas.openxmlformats.org/officeDocument/2006/relationships/worksheet" Target="/xl/worksheets/sheet12.xml" Id="Rdb7a359bb91543f8" /><Relationship Type="http://schemas.openxmlformats.org/officeDocument/2006/relationships/worksheet" Target="/xl/worksheets/sheet13.xml" Id="R53a478b342c840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 ht="30" customHeight="1">
      <x:c r="A1" s="1" t="inlineStr">
        <x:is>
          <x:t xml:space="preserve">ECKO-PACK Artikelstamm – Ausfuellvorlage</x:t>
        </x:is>
      </x:c>
    </x:row>
    <x:row r="2">
      <x:c r="A2" s="2" t="inlineStr">
        <x:is>
          <x:t xml:space="preserve"/>
        </x:is>
      </x:c>
    </x:row>
    <x:row r="3" ht="20" customHeight="1">
      <x:c r="A3" s="3" t="inlineStr">
        <x:is>
          <x:t xml:space="preserve">Wozu diese Datei?</x:t>
        </x:is>
      </x:c>
    </x:row>
    <x:row r="4">
      <x:c r="A4" s="2" t="inlineStr">
        <x:is>
          <x:t xml:space="preserve">Trag hier alle Artikel ein, die wir verkaufen und/oder auf Lager halten. Diese Liste wird anschliessend als Artikelstamm ins CRM importiert. Danach kannst du Artikel bei Angeboten, Packscheinen, Lieferscheinen und Rechnungen direkt auswaehlen, statt Bezeichnung/Preis/Einheit jedes Mal von Hand einzutippen – und siehst den Lagerbestand je Artikel im CRM.</x:t>
        </x:is>
      </x:c>
    </x:row>
    <x:row r="5">
      <x:c r="A5" s="2" t="inlineStr">
        <x:is>
          <x:t xml:space="preserve"/>
        </x:is>
      </x:c>
    </x:row>
    <x:row r="6" ht="20" customHeight="1">
      <x:c r="A6" s="3" t="inlineStr">
        <x:is>
          <x:t xml:space="preserve">Was musst du ausfuellen?</x:t>
        </x:is>
      </x:c>
    </x:row>
    <x:row r="7">
      <x:c r="A7" s="2" t="inlineStr">
        <x:is>
          <x:t xml:space="preserve">Sheet "Artikel": eine Zeile pro Artikel, ab Zeile 3 (Zeile 2 ist ein Beispiel – bitte vor dem Versenden loeschen oder ueberschreiben).</x:t>
        </x:is>
      </x:c>
    </x:row>
    <x:row r="8">
      <x:c r="A8" s="2" t="inlineStr">
        <x:is>
          <x:t xml:space="preserve">Pflichtfelder (gelb hinterlegt in Zeile 1): Artikelnummer, Bezeichnung, Geschaeftsbereich, Einheit, Verkaufspreis, USt-Satz.</x:t>
        </x:is>
      </x:c>
    </x:row>
    <x:row r="9">
      <x:c r="A9" s="2" t="inlineStr">
        <x:is>
          <x:t xml:space="preserve">Alle anderen Spalten sind optional – leer lassen, wenn nicht bekannt oder nicht zutreffend.</x:t>
        </x:is>
      </x:c>
    </x:row>
    <x:row r="10">
      <x:c r="A10" s="2" t="inlineStr">
        <x:is>
          <x:t xml:space="preserve">Geschaeftsbereich, Einheit, USt-Satz und Status haben Dropdown-Listen (Zelle anklicken, Pfeil erscheint rechts) – bitte nur daraus waehlen, sonst klappt der spaetere Import nicht sauber.</x:t>
        </x:is>
      </x:c>
    </x:row>
    <x:row r="11">
      <x:c r="A11" s="2" t="inlineStr">
        <x:is>
          <x:t xml:space="preserve"/>
        </x:is>
      </x:c>
    </x:row>
    <x:row r="12" ht="20" customHeight="1">
      <x:c r="A12" s="3" t="inlineStr">
        <x:is>
          <x:t xml:space="preserve">Warum auch Einkaufspreis und Mindestbestand?</x:t>
        </x:is>
      </x:c>
    </x:row>
    <x:row r="13">
      <x:c r="A13" s="2" t="inlineStr">
        <x:is>
          <x:t xml:space="preserve">Einkaufspreis (netto) ist optional, aber ohne ihn kann das CRM spaeter keinen Rohertrag/Deckungsbeitrag je Artikel berechnen – nur Umsatz. Wenn du ihn kennst, lohnt es sich, ihn gleich mit einzutragen.</x:t>
        </x:is>
      </x:c>
    </x:row>
    <x:row r="14">
      <x:c r="A14" s="2" t="inlineStr">
        <x:is>
          <x:t xml:space="preserve">Mindestbestand ist der Meldebestand: die Menge, bei der nachbestellt werden sollte. Auch optional, aber Voraussetzung fuer eine spaetere automatische Nachbestell-Warnung.</x:t>
        </x:is>
      </x:c>
    </x:row>
    <x:row r="15">
      <x:c r="A15" s="2" t="inlineStr">
        <x:is>
          <x:t xml:space="preserve"/>
        </x:is>
      </x:c>
    </x:row>
    <x:row r="16" ht="20" customHeight="1">
      <x:c r="A16" s="3" t="inlineStr">
        <x:is>
          <x:t xml:space="preserve">Artikelnummer</x:t>
        </x:is>
      </x:c>
    </x:row>
    <x:row r="17">
      <x:c r="A17" s="2" t="inlineStr">
        <x:is>
          <x:t xml:space="preserve">Frei waehlbar, muss aber eindeutig sein (z.B. A001, A002, ...). Wird fuer den Abgleich bei einem spaeteren erneuten Import genutzt – genau wie bei Firmen/Kontakten/Deals (F001/K001/L001), die bereits im CRM importiert sind.</x:t>
        </x:is>
      </x:c>
    </x:row>
    <x:row r="18">
      <x:c r="A18" s="2" t="inlineStr">
        <x:is>
          <x:t xml:space="preserve"/>
        </x:is>
      </x:c>
    </x:row>
    <x:row r="19" ht="20" customHeight="1">
      <x:c r="A19" s="3" t="inlineStr">
        <x:is>
          <x:t xml:space="preserve">Wie geht es nach dem Ausfuellen weiter?</x:t>
        </x:is>
      </x:c>
    </x:row>
    <x:row r="20">
      <x:c r="A20" s="2" t="inlineStr">
        <x:is>
          <x:t xml:space="preserve">Datei ausgefuellt zurueckschicken. Ich baue dann den Artikelstamm im CRM (Modell + Import), binde die Artikelauswahl in Angebote/Packscheine/Lieferscheine/Rechnungen ein und zeige euch den Lagerbestand direkt im CRM an.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hidden="0" customWidth="1"/>
    <x:col min="2" max="2" width="56" hidden="0" customWidth="1"/>
    <x:col min="3" max="3" width="46" hidden="0" customWidth="1"/>
    <x:col min="4" max="4" width="24" customWidth="1"/>
    <x:col min="5" max="5" width="12" customWidth="1"/>
    <x:col min="6" max="6" width="20" customWidth="1"/>
    <x:col min="7" max="7" width="13" customWidth="1"/>
    <x:col min="8" max="8" width="20" customWidth="1"/>
    <x:col min="9" max="9" width="17" customWidth="1"/>
    <x:col min="10" max="10" width="15" customWidth="1"/>
    <x:col min="11" max="11" width="16" customWidth="1"/>
    <x:col min="12" max="12" width="24" customWidth="1"/>
    <x:col min="13" max="13" width="11" customWidth="1"/>
    <x:col min="14" max="14" width="54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42" hidden="0" customWidth="1"/>
  </x:cols>
  <x:sheetData>
    <x:row r="1" ht="32" customHeight="1">
      <x:c r="A1" s="43" t="inlineStr">
        <x:is>
          <x:t xml:space="preserve">Artikelnummer *</x:t>
        </x:is>
      </x:c>
      <x:c r="B1" s="43" t="inlineStr">
        <x:is>
          <x:t xml:space="preserve">Bezeichnung *</x:t>
        </x:is>
      </x:c>
      <x:c r="C1" s="43" t="inlineStr">
        <x:is>
          <x:t xml:space="preserve">Beschreibung</x:t>
        </x:is>
      </x:c>
      <x:c r="D1" s="43" t="inlineStr">
        <x:is>
          <x:t xml:space="preserve">Geschäftsbereich *</x:t>
        </x:is>
      </x:c>
      <x:c r="E1" s="43" t="inlineStr">
        <x:is>
          <x:t xml:space="preserve">Einheit *</x:t>
        </x:is>
      </x:c>
      <x:c r="F1" s="43" t="inlineStr">
        <x:is>
          <x:t xml:space="preserve">Verkaufspreis (EUR, netto) *</x:t>
        </x:is>
      </x:c>
      <x:c r="G1" s="43" t="inlineStr">
        <x:is>
          <x:t xml:space="preserve">USt-Satz (%) *</x:t>
        </x:is>
      </x:c>
      <x:c r="H1" s="43" t="inlineStr">
        <x:is>
          <x:t xml:space="preserve">Einkaufspreis (EUR, netto)</x:t>
        </x:is>
      </x:c>
      <x:c r="I1" s="43" t="inlineStr">
        <x:is>
          <x:t xml:space="preserve">Lagerbestand aktuell</x:t>
        </x:is>
      </x:c>
      <x:c r="J1" s="43" t="inlineStr">
        <x:is>
          <x:t xml:space="preserve">Mindestbestand</x:t>
        </x:is>
      </x:c>
      <x:c r="K1" s="43" t="inlineStr">
        <x:is>
          <x:t xml:space="preserve">Lagerort</x:t>
        </x:is>
      </x:c>
      <x:c r="L1" s="43" t="inlineStr">
        <x:is>
          <x:t xml:space="preserve">Lieferant</x:t>
        </x:is>
      </x:c>
      <x:c r="M1" s="43" t="inlineStr">
        <x:is>
          <x:t xml:space="preserve">Status</x:t>
        </x:is>
      </x:c>
      <x:c r="N1" s="43" t="inlineStr">
        <x:is>
          <x:t xml:space="preserve">Notizen</x:t>
        </x:is>
      </x:c>
      <x:c r="O1" s="44" t="str">
        <x:v>VK 1: 300.000 Stk</x:v>
      </x:c>
      <x:c r="P1" s="44" t="str">
        <x:v>VK 2: 200.000 Stk</x:v>
      </x:c>
      <x:c r="Q1" s="44" t="str">
        <x:v>VK 3: 100.000 Stk</x:v>
      </x:c>
      <x:c r="R1" s="44" t="str">
        <x:v>VK 4: 50.000 Stk</x:v>
      </x:c>
      <x:c r="S1" s="44" t="str">
        <x:v>VK 5: 10.000 Stk</x:v>
      </x:c>
      <x:c r="T1" s="44" t="str">
        <x:v>VK 6: 3.000 Stk</x:v>
      </x:c>
      <x:c r="U1" s="44" t="str">
        <x:v>VK 7: 1.000 Stk</x:v>
      </x:c>
      <x:c r="V1" s="44" t="str">
        <x:v>VK 8: 100 / 150 / 500 Stk</x:v>
      </x:c>
      <x:c r="W1" s="44" t="str">
        <x:v>VK 9: 50 Stk</x:v>
      </x:c>
      <x:c r="X1" s="44" t="str">
        <x:v>Verpackung Stk</x:v>
      </x:c>
      <x:c r="Y1" s="44" t="str">
        <x:v>Shop VK brutto/Karton</x:v>
      </x:c>
      <x:c r="Z1" s="44" t="str">
        <x:v>VK Amazon brutto/Karton</x:v>
      </x:c>
      <x:c r="AA1" s="44" t="str">
        <x:v>VK Amazon netto/Karton</x:v>
      </x:c>
      <x:c r="AB1" s="44" t="str">
        <x:v>Amazon VK-Gruppe</x:v>
      </x:c>
      <x:c r="AC1" s="44" t="str">
        <x:v>Preisstatus</x:v>
      </x:c>
    </x:row>
    <x:row r="2">
      <x:c r="A2" s="6" t="str">
        <x:v>LUA-SW-15-500</x:v>
      </x:c>
      <x:c r="B2" s="6" t="str">
        <x:v>LUAMO Trinkhalm schwarz 15 cm, 500 Stück/Schlauchbeutel</x:v>
      </x:c>
      <x:c r="C2" s="6" t="str">
        <x:v>Schwarzer Trinkhalm, Länge 15 cm (150 mm), 500 Stück je Schlauchbeutel</x:v>
      </x:c>
      <x:c r="D2" s="6" t="str">
        <x:v>Einweg-/Serviceprodukte</x:v>
      </x:c>
      <x:c r="E2" s="6" t="str">
        <x:v>Stück</x:v>
      </x:c>
      <x:c r="F2" s="45"/>
      <x:c r="G2" s="8" t="n">
        <x:v>19</x:v>
      </x:c>
      <x:c r="H2" s="45" t="n">
        <x:v>0.01298</x:v>
      </x:c>
      <x:c r="I2" s="9"/>
      <x:c r="J2" s="9"/>
      <x:c r="K2" s="6"/>
      <x:c r="L2" s="6"/>
      <x:c r="M2" s="6"/>
      <x:c r="N2" s="6" t="str">
        <x:v>EK netto je Trinkhalm (Stück); Verpackungszuschläge nicht berücksichtigt. VK 1 ab 300.000 Stück ausschließlich für 15 cm / 500er-Schlauchbeutel: 0,01820 € netto je Stück. Andere Staffeln unverändert.</x:v>
      </x:c>
      <x:c r="O2" s="38" t="n">
        <x:v>0.0182</x:v>
      </x:c>
      <x:c r="P2" s="38" t="n">
        <x:f>IF('VK-Staffeln'!D5="","",'VK-Staffeln'!D5)</x:f>
        <x:v>0.02</x:v>
      </x:c>
      <x:c r="Q2" s="38" t="n">
        <x:f>IF('VK-Staffeln'!E5="","",'VK-Staffeln'!E5)</x:f>
        <x:v>0.022</x:v>
      </x:c>
      <x:c r="R2" s="38" t="n">
        <x:f>IF('VK-Staffeln'!F5="","",'VK-Staffeln'!F5)</x:f>
        <x:v>0.027</x:v>
      </x:c>
      <x:c r="S2" s="38" t="n">
        <x:f>IF('VK-Staffeln'!G5="","",'VK-Staffeln'!G5)</x:f>
        <x:v>0.03</x:v>
      </x:c>
      <x:c r="T2" s="38" t="n">
        <x:f>IF('VK-Staffeln'!H5="","",'VK-Staffeln'!H5)</x:f>
        <x:v>0.036</x:v>
      </x:c>
      <x:c r="U2" s="38" t="n">
        <x:f>IF('VK-Staffeln'!I5="","",'VK-Staffeln'!I5)</x:f>
        <x:v>0.049</x:v>
      </x:c>
      <x:c r="V2" s="38" t="n">
        <x:f>IF('VK-Staffeln'!J5="","",'VK-Staffeln'!J5)</x:f>
        <x:v>0.059</x:v>
      </x:c>
      <x:c r="W2" s="38"/>
      <x:c r="X2" t="n">
        <x:v>500</x:v>
      </x:c>
      <x:c r="Y2" s="47"/>
      <x:c r="Z2" s="47"/>
      <x:c r="AA2" s="47"/>
      <x:c r="AB2" t="str">
        <x:v>Amazon – offen</x:v>
      </x:c>
      <x:c r="AC2" t="str">
        <x:v>Amazon- und Shoppreis noch nicht festgelegt</x:v>
      </x:c>
    </x:row>
    <x:row r="3">
      <x:c r="A3" s="10" t="str">
        <x:v>LUA-SW-20-500</x:v>
      </x:c>
      <x:c r="B3" s="10" t="str">
        <x:v>LUAMO Trinkhalm schwarz 20 cm, 500 Stück/Schlauchbeutel</x:v>
      </x:c>
      <x:c r="C3" s="10" t="str">
        <x:v>Schwarzer Trinkhalm, Länge 20 cm (200 mm), 500 Stück je Schlauchbeutel</x:v>
      </x:c>
      <x:c r="D3" s="10" t="str">
        <x:v>Einweg-/Serviceprodukte</x:v>
      </x:c>
      <x:c r="E3" s="10" t="str">
        <x:v>Stück</x:v>
      </x:c>
      <x:c r="F3" s="46"/>
      <x:c r="G3" s="12" t="n">
        <x:v>19</x:v>
      </x:c>
      <x:c r="H3" s="46" t="n">
        <x:v>0.01386</x:v>
      </x:c>
      <x:c r="I3" s="13"/>
      <x:c r="J3" s="13"/>
      <x:c r="K3" s="10"/>
      <x:c r="L3" s="10"/>
      <x:c r="M3" s="10"/>
      <x:c r="N3" s="10" t="str">
        <x:v>EK netto je Trinkhalm (Stück); Verpackungszuschläge nicht berücksichtigt. Verkaufspreis und Bestände offen. | VK je Stück und Mengenstaffel in Spalten O–W / Blatt VK-Staffeln.</x:v>
      </x:c>
      <x:c r="O3" s="38" t="n">
        <x:f>IF('VK-Staffeln'!C6="","",'VK-Staffeln'!C6)</x:f>
        <x:v>0.019</x:v>
      </x:c>
      <x:c r="P3" s="38" t="n">
        <x:f>IF('VK-Staffeln'!D6="","",'VK-Staffeln'!D6)</x:f>
        <x:v>0.021</x:v>
      </x:c>
      <x:c r="Q3" s="38" t="n">
        <x:f>IF('VK-Staffeln'!E6="","",'VK-Staffeln'!E6)</x:f>
        <x:v>0.023</x:v>
      </x:c>
      <x:c r="R3" s="38" t="n">
        <x:f>IF('VK-Staffeln'!F6="","",'VK-Staffeln'!F6)</x:f>
        <x:v>0.028</x:v>
      </x:c>
      <x:c r="S3" s="38" t="n">
        <x:f>IF('VK-Staffeln'!G6="","",'VK-Staffeln'!G6)</x:f>
        <x:v>0.031</x:v>
      </x:c>
      <x:c r="T3" s="38" t="n">
        <x:f>IF('VK-Staffeln'!H6="","",'VK-Staffeln'!H6)</x:f>
        <x:v>0.039</x:v>
      </x:c>
      <x:c r="U3" s="38" t="n">
        <x:f>IF('VK-Staffeln'!I6="","",'VK-Staffeln'!I6)</x:f>
        <x:v>0.059</x:v>
      </x:c>
      <x:c r="V3" s="38" t="n">
        <x:f>IF('VK-Staffeln'!J6="","",'VK-Staffeln'!J6)</x:f>
        <x:v>0.069</x:v>
      </x:c>
      <x:c r="W3" s="38" t="str">
        <x:f>IF('VK-Staffeln'!K6="","",'VK-Staffeln'!K6)</x:f>
      </x:c>
      <x:c r="X3" t="n">
        <x:v>500</x:v>
      </x:c>
      <x:c r="Y3" s="47"/>
      <x:c r="Z3" s="47"/>
      <x:c r="AA3" s="47"/>
      <x:c r="AB3" t="str">
        <x:v>Amazon – offen</x:v>
      </x:c>
      <x:c r="AC3" t="str">
        <x:v>Amazon- und Shoppreis noch nicht festgelegt</x:v>
      </x:c>
    </x:row>
    <x:row r="4">
      <x:c r="A4" s="10" t="str">
        <x:v>LUA-SW-23-500</x:v>
      </x:c>
      <x:c r="B4" s="10" t="str">
        <x:v>LUAMO Trinkhalm schwarz 23 cm, 500 Stück/Schlauchbeutel</x:v>
      </x:c>
      <x:c r="C4" s="10" t="str">
        <x:v>Schwarzer Trinkhalm, Länge 23 cm (230 mm), 500 Stück je Schlauchbeutel</x:v>
      </x:c>
      <x:c r="D4" s="10" t="str">
        <x:v>Einweg-/Serviceprodukte</x:v>
      </x:c>
      <x:c r="E4" s="10" t="str">
        <x:v>Stück</x:v>
      </x:c>
      <x:c r="F4" s="46"/>
      <x:c r="G4" s="12" t="n">
        <x:v>19</x:v>
      </x:c>
      <x:c r="H4" s="46" t="n">
        <x:v>0.0143</x:v>
      </x:c>
      <x:c r="I4" s="13"/>
      <x:c r="J4" s="13"/>
      <x:c r="K4" s="10"/>
      <x:c r="L4" s="10"/>
      <x:c r="M4" s="10"/>
      <x:c r="N4" s="10" t="str">
        <x:v>EK netto je Trinkhalm (Stück); Verpackungszuschläge nicht berücksichtigt. Verkaufspreis und Bestände offen. | VK je Stück und Mengenstaffel in Spalten O–W / Blatt VK-Staffeln.</x:v>
      </x:c>
      <x:c r="O4" s="38" t="n">
        <x:f>IF('VK-Staffeln'!C7="","",'VK-Staffeln'!C7)</x:f>
        <x:v>0.02</x:v>
      </x:c>
      <x:c r="P4" s="38" t="n">
        <x:f>IF('VK-Staffeln'!D7="","",'VK-Staffeln'!D7)</x:f>
        <x:v>0.022</x:v>
      </x:c>
      <x:c r="Q4" s="38" t="n">
        <x:f>IF('VK-Staffeln'!E7="","",'VK-Staffeln'!E7)</x:f>
        <x:v>0.024</x:v>
      </x:c>
      <x:c r="R4" s="38" t="n">
        <x:f>IF('VK-Staffeln'!F7="","",'VK-Staffeln'!F7)</x:f>
        <x:v>0.029</x:v>
      </x:c>
      <x:c r="S4" s="38" t="n">
        <x:f>IF('VK-Staffeln'!G7="","",'VK-Staffeln'!G7)</x:f>
        <x:v>0.032</x:v>
      </x:c>
      <x:c r="T4" s="38" t="n">
        <x:f>IF('VK-Staffeln'!H7="","",'VK-Staffeln'!H7)</x:f>
        <x:v>0.043</x:v>
      </x:c>
      <x:c r="U4" s="38" t="n">
        <x:f>IF('VK-Staffeln'!I7="","",'VK-Staffeln'!I7)</x:f>
        <x:v>0.069</x:v>
      </x:c>
      <x:c r="V4" s="38" t="str">
        <x:f>IF('VK-Staffeln'!J7="","",'VK-Staffeln'!J7)</x:f>
      </x:c>
      <x:c r="W4" s="38" t="str">
        <x:f>IF('VK-Staffeln'!K7="","",'VK-Staffeln'!K7)</x:f>
      </x:c>
      <x:c r="X4" t="n">
        <x:v>500</x:v>
      </x:c>
      <x:c r="Y4" s="47"/>
      <x:c r="Z4" s="47"/>
      <x:c r="AA4" s="47"/>
      <x:c r="AB4" t="str">
        <x:v>Amazon – offen</x:v>
      </x:c>
      <x:c r="AC4" t="str">
        <x:v>Amazon- und Shoppreis noch nicht festgelegt</x:v>
      </x:c>
    </x:row>
    <x:row r="5">
      <x:c r="A5" s="10" t="str">
        <x:v>LUA-SW-25-500</x:v>
      </x:c>
      <x:c r="B5" s="10" t="str">
        <x:v>LUAMO Trinkhalm schwarz 25 cm, 500 Stück/Schlauchbeutel</x:v>
      </x:c>
      <x:c r="C5" s="10" t="str">
        <x:v>Schwarzer Trinkhalm, Länge 25 cm (250 mm), 500 Stück je Schlauchbeutel</x:v>
      </x:c>
      <x:c r="D5" s="10" t="str">
        <x:v>Einweg-/Serviceprodukte</x:v>
      </x:c>
      <x:c r="E5" s="10" t="str">
        <x:v>Stück</x:v>
      </x:c>
      <x:c r="F5" s="46"/>
      <x:c r="G5" s="12" t="n">
        <x:v>19</x:v>
      </x:c>
      <x:c r="H5" s="46" t="n">
        <x:v>0.01756</x:v>
      </x:c>
      <x:c r="I5" s="13"/>
      <x:c r="J5" s="13"/>
      <x:c r="K5" s="10"/>
      <x:c r="L5" s="10"/>
      <x:c r="M5" s="10"/>
      <x:c r="N5" s="10" t="str">
        <x:v>EK netto je Trinkhalm (Stück); Verpackungszuschläge nicht berücksichtigt. Verkaufspreis und Bestände offen. | VK je Stück und Mengenstaffel in Spalten O–W / Blatt VK-Staffeln.</x:v>
      </x:c>
      <x:c r="O5" s="38" t="n">
        <x:f>IF('VK-Staffeln'!C8="","",'VK-Staffeln'!C8)</x:f>
        <x:v>0.025</x:v>
      </x:c>
      <x:c r="P5" s="38" t="n">
        <x:f>IF('VK-Staffeln'!D8="","",'VK-Staffeln'!D8)</x:f>
        <x:v>0.027</x:v>
      </x:c>
      <x:c r="Q5" s="38" t="n">
        <x:f>IF('VK-Staffeln'!E8="","",'VK-Staffeln'!E8)</x:f>
        <x:v>0.03</x:v>
      </x:c>
      <x:c r="R5" s="38" t="n">
        <x:f>IF('VK-Staffeln'!F8="","",'VK-Staffeln'!F8)</x:f>
        <x:v>0.036</x:v>
      </x:c>
      <x:c r="S5" s="38" t="n">
        <x:f>IF('VK-Staffeln'!G8="","",'VK-Staffeln'!G8)</x:f>
        <x:v>0.039</x:v>
      </x:c>
      <x:c r="T5" s="38" t="n">
        <x:f>IF('VK-Staffeln'!H8="","",'VK-Staffeln'!H8)</x:f>
        <x:v>0.049</x:v>
      </x:c>
      <x:c r="U5" s="38" t="n">
        <x:f>IF('VK-Staffeln'!I8="","",'VK-Staffeln'!I8)</x:f>
        <x:v>0.075</x:v>
      </x:c>
      <x:c r="V5" s="38" t="str">
        <x:f>IF('VK-Staffeln'!J8="","",'VK-Staffeln'!J8)</x:f>
      </x:c>
      <x:c r="W5" s="38" t="str">
        <x:f>IF('VK-Staffeln'!K8="","",'VK-Staffeln'!K8)</x:f>
      </x:c>
      <x:c r="X5" t="n">
        <x:v>500</x:v>
      </x:c>
      <x:c r="Y5" s="47"/>
      <x:c r="Z5" s="47"/>
      <x:c r="AA5" s="47"/>
      <x:c r="AB5" t="str">
        <x:v>Amazon – offen</x:v>
      </x:c>
      <x:c r="AC5" t="str">
        <x:v>Amazon- und Shoppreis noch nicht festgelegt</x:v>
      </x:c>
    </x:row>
    <x:row r="6">
      <x:c r="A6" s="10" t="str">
        <x:v>LUA-SW-30-500</x:v>
      </x:c>
      <x:c r="B6" s="10" t="str">
        <x:v>LUAMO Trinkhalm schwarz 30 cm, 500 Stück/Schlauchbeutel</x:v>
      </x:c>
      <x:c r="C6" s="10" t="str">
        <x:v>Schwarzer Trinkhalm, Länge 30 cm (300 mm), 500 Stück je Schlauchbeutel</x:v>
      </x:c>
      <x:c r="D6" s="10" t="str">
        <x:v>Einweg-/Serviceprodukte</x:v>
      </x:c>
      <x:c r="E6" s="10" t="str">
        <x:v>Stück</x:v>
      </x:c>
      <x:c r="F6" s="46"/>
      <x:c r="G6" s="12" t="n">
        <x:v>19</x:v>
      </x:c>
      <x:c r="H6" s="46" t="n">
        <x:v>0.01867</x:v>
      </x:c>
      <x:c r="I6" s="13"/>
      <x:c r="J6" s="13"/>
      <x:c r="K6" s="10"/>
      <x:c r="L6" s="10"/>
      <x:c r="M6" s="10"/>
      <x:c r="N6" s="10" t="str">
        <x:v>EK netto je Trinkhalm (Stück); Verpackungszuschläge nicht berücksichtigt. Verkaufspreis und Bestände offen. | VK je Stück und Mengenstaffel in Spalten O–W / Blatt VK-Staffeln.</x:v>
      </x:c>
      <x:c r="O6" s="38" t="n">
        <x:f>IF('VK-Staffeln'!C9="","",'VK-Staffeln'!C9)</x:f>
        <x:v>0.026</x:v>
      </x:c>
      <x:c r="P6" s="38" t="n">
        <x:f>IF('VK-Staffeln'!D9="","",'VK-Staffeln'!D9)</x:f>
        <x:v>0.028</x:v>
      </x:c>
      <x:c r="Q6" s="38" t="n">
        <x:f>IF('VK-Staffeln'!E9="","",'VK-Staffeln'!E9)</x:f>
        <x:v>0.031</x:v>
      </x:c>
      <x:c r="R6" s="38" t="n">
        <x:f>IF('VK-Staffeln'!F9="","",'VK-Staffeln'!F9)</x:f>
        <x:v>0.037</x:v>
      </x:c>
      <x:c r="S6" s="38" t="n">
        <x:f>IF('VK-Staffeln'!G9="","",'VK-Staffeln'!G9)</x:f>
        <x:v>0.041</x:v>
      </x:c>
      <x:c r="T6" s="38" t="n">
        <x:f>IF('VK-Staffeln'!H9="","",'VK-Staffeln'!H9)</x:f>
        <x:v>0.055</x:v>
      </x:c>
      <x:c r="U6" s="38" t="n">
        <x:f>IF('VK-Staffeln'!I9="","",'VK-Staffeln'!I9)</x:f>
        <x:v>0.079</x:v>
      </x:c>
      <x:c r="V6" s="38" t="str">
        <x:f>IF('VK-Staffeln'!J9="","",'VK-Staffeln'!J9)</x:f>
      </x:c>
      <x:c r="W6" s="38" t="str">
        <x:f>IF('VK-Staffeln'!K9="","",'VK-Staffeln'!K9)</x:f>
      </x:c>
      <x:c r="X6" t="n">
        <x:v>500</x:v>
      </x:c>
      <x:c r="Y6" s="47"/>
      <x:c r="Z6" s="47"/>
      <x:c r="AA6" s="47"/>
      <x:c r="AB6" t="str">
        <x:v>Amazon – offen</x:v>
      </x:c>
      <x:c r="AC6" t="str">
        <x:v>Amazon- und Shoppreis noch nicht festgelegt</x:v>
      </x:c>
    </x:row>
    <x:row r="7">
      <x:c r="A7" s="10" t="str">
        <x:v>LUA-SW-15-100</x:v>
      </x:c>
      <x:c r="B7" s="10" t="str">
        <x:v>LUAMO Trinkhalm schwarz 15 cm, 100 Stück/Karton</x:v>
      </x:c>
      <x:c r="C7" s="10" t="str">
        <x:v>Schwarzer Trinkhalm, Länge 15 cm (150 mm), 100 Stück je Karton</x:v>
      </x:c>
      <x:c r="D7" s="10" t="str">
        <x:v>Einweg-/Serviceprodukte</x:v>
      </x:c>
      <x:c r="E7" s="10" t="str">
        <x:v>Stück</x:v>
      </x:c>
      <x:c r="F7" s="46"/>
      <x:c r="G7" s="12" t="n">
        <x:v>19</x:v>
      </x:c>
      <x:c r="H7" s="46" t="n">
        <x:v>0.01298</x:v>
      </x:c>
      <x:c r="I7" s="13"/>
      <x:c r="J7" s="13"/>
      <x:c r="K7" s="10"/>
      <x:c r="L7" s="10"/>
      <x:c r="M7" s="10"/>
      <x:c r="N7" s="10" t="str">
        <x:v>100er-Karton (keine Schlauchbeutel). 300.000er Staffel 0,01900 €; Sonderpreis 0,01820 € gilt ausschließlich beim 15-cm-500er-Schlauchbeutel.</x:v>
      </x:c>
      <x:c r="O7" s="38" t="n">
        <x:v>0.019</x:v>
      </x:c>
      <x:c r="P7" s="38" t="n">
        <x:f>IF('VK-Staffeln'!D5="","",'VK-Staffeln'!D5)</x:f>
        <x:v>0.02</x:v>
      </x:c>
      <x:c r="Q7" s="38" t="n">
        <x:f>IF('VK-Staffeln'!E5="","",'VK-Staffeln'!E5)</x:f>
        <x:v>0.022</x:v>
      </x:c>
      <x:c r="R7" s="38" t="n">
        <x:f>IF('VK-Staffeln'!F5="","",'VK-Staffeln'!F5)</x:f>
        <x:v>0.027</x:v>
      </x:c>
      <x:c r="S7" s="38" t="n">
        <x:f>IF('VK-Staffeln'!G5="","",'VK-Staffeln'!G5)</x:f>
        <x:v>0.03</x:v>
      </x:c>
      <x:c r="T7" s="38" t="n">
        <x:f>IF('VK-Staffeln'!H5="","",'VK-Staffeln'!H5)</x:f>
        <x:v>0.036</x:v>
      </x:c>
      <x:c r="U7" s="38" t="n">
        <x:f>IF('VK-Staffeln'!I5="","",'VK-Staffeln'!I5)</x:f>
        <x:v>0.049</x:v>
      </x:c>
      <x:c r="V7" s="38" t="n">
        <x:f>IF('VK-Staffeln'!J5="","",'VK-Staffeln'!J5)</x:f>
        <x:v>0.059</x:v>
      </x:c>
      <x:c r="W7" s="38"/>
      <x:c r="X7" t="n">
        <x:v>100</x:v>
      </x:c>
      <x:c r="Y7" s="47"/>
      <x:c r="Z7" s="47"/>
      <x:c r="AA7" s="47"/>
      <x:c r="AB7" t="str">
        <x:v>Amazon – offen</x:v>
      </x:c>
      <x:c r="AC7" t="str">
        <x:v>Amazon- und Shoppreis noch nicht festgelegt</x:v>
      </x:c>
    </x:row>
    <x:row r="8">
      <x:c r="A8" s="10" t="str">
        <x:v>LUA-SW-20-100</x:v>
      </x:c>
      <x:c r="B8" s="10" t="str">
        <x:v>LUAMO Trinkhalm schwarz 20 cm, 100 Stück/Karton</x:v>
      </x:c>
      <x:c r="C8" s="10" t="str">
        <x:v>Schwarzer Trinkhalm, Länge 20 cm (200 mm), 100 Stück je Karton</x:v>
      </x:c>
      <x:c r="D8" s="10" t="str">
        <x:v>Einweg-/Serviceprodukte</x:v>
      </x:c>
      <x:c r="E8" s="10" t="str">
        <x:v>Stück</x:v>
      </x:c>
      <x:c r="F8" s="46"/>
      <x:c r="G8" s="12" t="n">
        <x:v>19</x:v>
      </x:c>
      <x:c r="H8" s="46" t="n">
        <x:v>0.01386</x:v>
      </x:c>
      <x:c r="I8" s="13"/>
      <x:c r="J8" s="13"/>
      <x:c r="K8" s="10"/>
      <x:c r="L8" s="10"/>
      <x:c r="M8" s="10"/>
      <x:c r="N8" s="10" t="str">
        <x:v>EK netto je Trinkhalm (Stück); Verpackungszuschläge nicht berücksichtigt. Verkaufspreis und Bestände offen. | VK je Stück und Mengenstaffel in Spalten O–W / Blatt VK-Staffeln.</x:v>
      </x:c>
      <x:c r="O8" s="38" t="n">
        <x:f>IF('VK-Staffeln'!C6="","",'VK-Staffeln'!C6)</x:f>
        <x:v>0.019</x:v>
      </x:c>
      <x:c r="P8" s="38" t="n">
        <x:f>IF('VK-Staffeln'!D6="","",'VK-Staffeln'!D6)</x:f>
        <x:v>0.021</x:v>
      </x:c>
      <x:c r="Q8" s="38" t="n">
        <x:f>IF('VK-Staffeln'!E6="","",'VK-Staffeln'!E6)</x:f>
        <x:v>0.023</x:v>
      </x:c>
      <x:c r="R8" s="38" t="n">
        <x:f>IF('VK-Staffeln'!F6="","",'VK-Staffeln'!F6)</x:f>
        <x:v>0.028</x:v>
      </x:c>
      <x:c r="S8" s="38" t="n">
        <x:f>IF('VK-Staffeln'!G6="","",'VK-Staffeln'!G6)</x:f>
        <x:v>0.031</x:v>
      </x:c>
      <x:c r="T8" s="38" t="n">
        <x:f>IF('VK-Staffeln'!H6="","",'VK-Staffeln'!H6)</x:f>
        <x:v>0.039</x:v>
      </x:c>
      <x:c r="U8" s="38" t="n">
        <x:f>IF('VK-Staffeln'!I6="","",'VK-Staffeln'!I6)</x:f>
        <x:v>0.059</x:v>
      </x:c>
      <x:c r="V8" s="38" t="n">
        <x:f>IF('VK-Staffeln'!J6="","",'VK-Staffeln'!J6)</x:f>
        <x:v>0.069</x:v>
      </x:c>
      <x:c r="W8" s="38" t="str">
        <x:f>IF('VK-Staffeln'!K6="","",'VK-Staffeln'!K6)</x:f>
      </x:c>
      <x:c r="X8" t="n">
        <x:v>100</x:v>
      </x:c>
      <x:c r="Y8" s="47"/>
      <x:c r="Z8" s="47"/>
      <x:c r="AA8" s="47"/>
      <x:c r="AB8" t="str">
        <x:v>Amazon – offen</x:v>
      </x:c>
      <x:c r="AC8" t="str">
        <x:v>Amazon- und Shoppreis noch nicht festgelegt</x:v>
      </x:c>
    </x:row>
    <x:row r="9">
      <x:c r="A9" s="10" t="str">
        <x:v>LUA-SW-20-050</x:v>
      </x:c>
      <x:c r="B9" s="10" t="str">
        <x:v>LUAMO Trinkhalm schwarz 20 cm, 50 Stück/Karton</x:v>
      </x:c>
      <x:c r="C9" s="10" t="str">
        <x:v>Schwarzer Trinkhalm, Länge 20 cm (200 mm), 50 Stück je Karton</x:v>
      </x:c>
      <x:c r="D9" s="10" t="str">
        <x:v>Einweg-/Serviceprodukte</x:v>
      </x:c>
      <x:c r="E9" s="10" t="str">
        <x:v>Stück</x:v>
      </x:c>
      <x:c r="F9" s="46"/>
      <x:c r="G9" s="12" t="n">
        <x:v>19</x:v>
      </x:c>
      <x:c r="H9" s="46" t="n">
        <x:v>0.01386</x:v>
      </x:c>
      <x:c r="I9" s="13"/>
      <x:c r="J9" s="13"/>
      <x:c r="K9" s="10"/>
      <x:c r="L9" s="10"/>
      <x:c r="M9" s="10"/>
      <x:c r="N9" s="10" t="str">
        <x:v>EK netto je Trinkhalm (Stück); Verpackungszuschläge nicht berücksichtigt. Verkaufspreis und Bestände offen. | VK je Stück und Mengenstaffel in Spalten O–W / Blatt VK-Staffeln.</x:v>
      </x:c>
      <x:c r="O9" s="38" t="n">
        <x:f>IF('VK-Staffeln'!C6="","",'VK-Staffeln'!C6)</x:f>
        <x:v>0.019</x:v>
      </x:c>
      <x:c r="P9" s="38" t="n">
        <x:f>IF('VK-Staffeln'!D6="","",'VK-Staffeln'!D6)</x:f>
        <x:v>0.021</x:v>
      </x:c>
      <x:c r="Q9" s="38" t="n">
        <x:f>IF('VK-Staffeln'!E6="","",'VK-Staffeln'!E6)</x:f>
        <x:v>0.023</x:v>
      </x:c>
      <x:c r="R9" s="38" t="n">
        <x:f>IF('VK-Staffeln'!F6="","",'VK-Staffeln'!F6)</x:f>
        <x:v>0.028</x:v>
      </x:c>
      <x:c r="S9" s="38" t="n">
        <x:f>IF('VK-Staffeln'!G6="","",'VK-Staffeln'!G6)</x:f>
        <x:v>0.031</x:v>
      </x:c>
      <x:c r="T9" s="38" t="n">
        <x:f>IF('VK-Staffeln'!H6="","",'VK-Staffeln'!H6)</x:f>
        <x:v>0.039</x:v>
      </x:c>
      <x:c r="U9" s="38" t="n">
        <x:f>IF('VK-Staffeln'!I6="","",'VK-Staffeln'!I6)</x:f>
        <x:v>0.059</x:v>
      </x:c>
      <x:c r="V9" s="38" t="n">
        <x:f>IF('VK-Staffeln'!J6="","",'VK-Staffeln'!J6)</x:f>
        <x:v>0.069</x:v>
      </x:c>
      <x:c r="W9" s="38" t="str">
        <x:f>IF('VK-Staffeln'!K6="","",'VK-Staffeln'!K6)</x:f>
      </x:c>
      <x:c r="X9" t="n">
        <x:v>50</x:v>
      </x:c>
      <x:c r="Y9" s="47"/>
      <x:c r="Z9" s="47"/>
      <x:c r="AA9" s="47"/>
      <x:c r="AB9" t="str">
        <x:v>Amazon – offen</x:v>
      </x:c>
      <x:c r="AC9" t="str">
        <x:v>Amazon- und Shoppreis noch nicht festgelegt</x:v>
      </x:c>
    </x:row>
    <x:row r="10">
      <x:c r="A10" s="10" t="str">
        <x:v>LUA-GB-GABEL-150</x:v>
      </x:c>
      <x:c r="B10" s="10" t="str">
        <x:v>LUAMO Gabel – 150er-Karton</x:v>
      </x:c>
      <x:c r="C10" s="10" t="str">
        <x:v>Großbesteck, sortenrein</x:v>
      </x:c>
      <x:c r="D10" s="10" t="str">
        <x:v>Großbesteck</x:v>
      </x:c>
      <x:c r="E10" s="10" t="str">
        <x:v>Stück</x:v>
      </x:c>
      <x:c r="F10" s="46" t="n">
        <x:f>Y10/(1+G10/100)/X10</x:f>
        <x:v>0.13949579831932774</x:v>
      </x:c>
      <x:c r="G10" s="12" t="n">
        <x:v>19</x:v>
      </x:c>
      <x:c r="H10" s="46" t="n">
        <x:v>0.08264</x:v>
      </x:c>
      <x:c r="I10" s="13"/>
      <x:c r="J10" s="13"/>
      <x:c r="K10" s="10"/>
      <x:c r="L10" s="10"/>
      <x:c r="M10" s="10" t="str">
        <x:v>Entwurf</x:v>
      </x:c>
      <x:c r="N10" s="10" t="str">
        <x:v>B2B VK-Stufen gelten je Stück, Mindestmenge in Blatt 'Besteck-Staffeln'. Shop/Amazon brutto je Karton.</x:v>
      </x:c>
      <x:c r="O10" s="38" t="n">
        <x:v>0.0995</x:v>
      </x:c>
      <x:c r="P10" s="38" t="n">
        <x:v>0.104</x:v>
      </x:c>
      <x:c r="Q10" s="38" t="n">
        <x:v>0.11</x:v>
      </x:c>
      <x:c r="R10" s="38" t="n">
        <x:v>0.115</x:v>
      </x:c>
      <x:c r="S10" s="38" t="n">
        <x:v>0.125</x:v>
      </x:c>
      <x:c r="T10" s="38" t="n">
        <x:v>0.13</x:v>
      </x:c>
      <x:c r="U10" s="38" t="n">
        <x:v>0.135</x:v>
      </x:c>
      <x:c r="V10" s="38" t="n">
        <x:v>0.139</x:v>
      </x:c>
      <x:c r="W10" s="38"/>
      <x:c r="X10" t="n">
        <x:v>150</x:v>
      </x:c>
      <x:c r="Y10" s="47" t="n">
        <x:v>24.9</x:v>
      </x:c>
      <x:c r="Z10" s="47" t="n">
        <x:v>39.9</x:v>
      </x:c>
      <x:c r="AA10" s="47" t="n">
        <x:f>Z10/(1+G10/100)</x:f>
        <x:v>33.529411764705884</x:v>
      </x:c>
      <x:c r="AB10" t="str">
        <x:v>Amazon</x:v>
      </x:c>
      <x:c r="AC10" t="str">
        <x:v>Shop/Amazon abgestimmt; B2B VK2-5 Vorschlag</x:v>
      </x:c>
    </x:row>
    <x:row r="11">
      <x:c r="A11" s="10" t="str">
        <x:v>LUA-GB-LOEFFEL-150</x:v>
      </x:c>
      <x:c r="B11" s="10" t="str">
        <x:v>LUAMO Löffel – 150er-Karton</x:v>
      </x:c>
      <x:c r="C11" s="10" t="str">
        <x:v>Großbesteck, sortenrein</x:v>
      </x:c>
      <x:c r="D11" s="10" t="str">
        <x:v>Großbesteck</x:v>
      </x:c>
      <x:c r="E11" s="10" t="str">
        <x:v>Stück</x:v>
      </x:c>
      <x:c r="F11" s="46" t="n">
        <x:f>Y11/(1+G11/100)/X11</x:f>
        <x:v>0.13949579831932774</x:v>
      </x:c>
      <x:c r="G11" s="12" t="n">
        <x:v>19</x:v>
      </x:c>
      <x:c r="H11" s="46" t="n">
        <x:v>0.08264</x:v>
      </x:c>
      <x:c r="I11" s="13"/>
      <x:c r="J11" s="13"/>
      <x:c r="K11" s="10"/>
      <x:c r="L11" s="10"/>
      <x:c r="M11" s="10" t="str">
        <x:v>Entwurf</x:v>
      </x:c>
      <x:c r="N11" s="10" t="str">
        <x:v>B2B VK-Stufen gelten je Stück, Mindestmenge in Blatt 'Besteck-Staffeln'. Shop/Amazon brutto je Karton.</x:v>
      </x:c>
      <x:c r="O11" s="38" t="n">
        <x:v>0.0995</x:v>
      </x:c>
      <x:c r="P11" s="38" t="n">
        <x:v>0.104</x:v>
      </x:c>
      <x:c r="Q11" s="38" t="n">
        <x:v>0.11</x:v>
      </x:c>
      <x:c r="R11" s="38" t="n">
        <x:v>0.115</x:v>
      </x:c>
      <x:c r="S11" s="38" t="n">
        <x:v>0.125</x:v>
      </x:c>
      <x:c r="T11" s="38" t="n">
        <x:v>0.13</x:v>
      </x:c>
      <x:c r="U11" s="38" t="n">
        <x:v>0.135</x:v>
      </x:c>
      <x:c r="V11" s="38" t="n">
        <x:v>0.139</x:v>
      </x:c>
      <x:c r="W11" s="38"/>
      <x:c r="X11" t="n">
        <x:v>150</x:v>
      </x:c>
      <x:c r="Y11" s="47" t="n">
        <x:v>24.9</x:v>
      </x:c>
      <x:c r="Z11" s="47" t="n">
        <x:v>39.9</x:v>
      </x:c>
      <x:c r="AA11" s="47" t="n">
        <x:f>Z11/(1+G11/100)</x:f>
        <x:v>33.529411764705884</x:v>
      </x:c>
      <x:c r="AB11" t="str">
        <x:v>Amazon</x:v>
      </x:c>
      <x:c r="AC11" t="str">
        <x:v>Shop/Amazon abgestimmt; B2B VK2-5 Vorschlag</x:v>
      </x:c>
    </x:row>
    <x:row r="12">
      <x:c r="A12" s="10" t="str">
        <x:v>LUA-GB-MESSER-150</x:v>
      </x:c>
      <x:c r="B12" s="10" t="str">
        <x:v>LUAMO Messer – 150er-Karton</x:v>
      </x:c>
      <x:c r="C12" s="10" t="str">
        <x:v>Großbesteck, sortenrein</x:v>
      </x:c>
      <x:c r="D12" s="10" t="str">
        <x:v>Großbesteck</x:v>
      </x:c>
      <x:c r="E12" s="10" t="str">
        <x:v>Stück</x:v>
      </x:c>
      <x:c r="F12" s="46" t="n">
        <x:f>Y12/(1+G12/100)/X12</x:f>
        <x:v>0.13949579831932774</x:v>
      </x:c>
      <x:c r="G12" s="12" t="n">
        <x:v>19</x:v>
      </x:c>
      <x:c r="H12" s="46" t="n">
        <x:v>0.08264</x:v>
      </x:c>
      <x:c r="I12" s="13"/>
      <x:c r="J12" s="13"/>
      <x:c r="K12" s="10"/>
      <x:c r="L12" s="10"/>
      <x:c r="M12" s="10" t="str">
        <x:v>Entwurf</x:v>
      </x:c>
      <x:c r="N12" s="10" t="str">
        <x:v>B2B VK-Stufen gelten je Stück, Mindestmenge in Blatt 'Besteck-Staffeln'. Shop/Amazon brutto je Karton.</x:v>
      </x:c>
      <x:c r="O12" s="38" t="n">
        <x:v>0.0995</x:v>
      </x:c>
      <x:c r="P12" s="38" t="n">
        <x:v>0.104</x:v>
      </x:c>
      <x:c r="Q12" s="38" t="n">
        <x:v>0.11</x:v>
      </x:c>
      <x:c r="R12" s="38" t="n">
        <x:v>0.115</x:v>
      </x:c>
      <x:c r="S12" s="38" t="n">
        <x:v>0.125</x:v>
      </x:c>
      <x:c r="T12" s="38" t="n">
        <x:v>0.13</x:v>
      </x:c>
      <x:c r="U12" s="38" t="n">
        <x:v>0.135</x:v>
      </x:c>
      <x:c r="V12" s="38" t="n">
        <x:v>0.139</x:v>
      </x:c>
      <x:c r="W12" s="38"/>
      <x:c r="X12" t="n">
        <x:v>150</x:v>
      </x:c>
      <x:c r="Y12" s="47" t="n">
        <x:v>24.9</x:v>
      </x:c>
      <x:c r="Z12" s="47" t="n">
        <x:v>39.9</x:v>
      </x:c>
      <x:c r="AA12" s="47" t="n">
        <x:f>Z12/(1+G12/100)</x:f>
        <x:v>33.529411764705884</x:v>
      </x:c>
      <x:c r="AB12" t="str">
        <x:v>Amazon</x:v>
      </x:c>
      <x:c r="AC12" t="str">
        <x:v>Shop/Amazon abgestimmt; B2B VK2-5 Vorschlag</x:v>
      </x:c>
    </x:row>
    <x:row r="13">
      <x:c r="A13" s="10" t="str">
        <x:v>LUA-GB-MIX-150</x:v>
      </x:c>
      <x:c r="B13" s="10" t="str">
        <x:v>LUAMO Großbesteck Mix – 150er-Karton</x:v>
      </x:c>
      <x:c r="C13" s="10" t="str">
        <x:v>50 Gabeln, 50 Löffel, 50 Messer; sechs 25er-Banderolen</x:v>
      </x:c>
      <x:c r="D13" s="10" t="str">
        <x:v>Großbesteck</x:v>
      </x:c>
      <x:c r="E13" s="10" t="str">
        <x:v>Stück</x:v>
      </x:c>
      <x:c r="F13" s="46" t="n">
        <x:f>Y13/(1+G13/100)/X13</x:f>
        <x:v>0.13949579831932774</x:v>
      </x:c>
      <x:c r="G13" s="12" t="n">
        <x:v>19</x:v>
      </x:c>
      <x:c r="H13" s="46" t="n">
        <x:v>0.08264</x:v>
      </x:c>
      <x:c r="I13" s="13"/>
      <x:c r="J13" s="13"/>
      <x:c r="K13" s="10"/>
      <x:c r="L13" s="10"/>
      <x:c r="M13" s="10" t="str">
        <x:v>Entwurf</x:v>
      </x:c>
      <x:c r="N13" s="10" t="str">
        <x:v>B2B VK-Stufen gelten je Stück, Mindestmenge in Blatt 'Besteck-Staffeln'. Shop/Amazon brutto je Karton. Konfektionierung/Banderolen-Zuschlag noch offen.</x:v>
      </x:c>
      <x:c r="O13" s="38" t="n">
        <x:v>0.0995</x:v>
      </x:c>
      <x:c r="P13" s="38" t="n">
        <x:v>0.104</x:v>
      </x:c>
      <x:c r="Q13" s="38" t="n">
        <x:v>0.11</x:v>
      </x:c>
      <x:c r="R13" s="38" t="n">
        <x:v>0.115</x:v>
      </x:c>
      <x:c r="S13" s="38" t="n">
        <x:v>0.125</x:v>
      </x:c>
      <x:c r="T13" s="38" t="n">
        <x:v>0.13</x:v>
      </x:c>
      <x:c r="U13" s="38" t="n">
        <x:v>0.135</x:v>
      </x:c>
      <x:c r="V13" s="38" t="n">
        <x:v>0.139</x:v>
      </x:c>
      <x:c r="W13" s="38"/>
      <x:c r="X13" t="n">
        <x:v>150</x:v>
      </x:c>
      <x:c r="Y13" s="47" t="n">
        <x:v>24.9</x:v>
      </x:c>
      <x:c r="Z13" s="47" t="n">
        <x:v>39.9</x:v>
      </x:c>
      <x:c r="AA13" s="47" t="n">
        <x:f>Z13/(1+G13/100)</x:f>
        <x:v>33.529411764705884</x:v>
      </x:c>
      <x:c r="AB13" t="str">
        <x:v>Amazon</x:v>
      </x:c>
      <x:c r="AC13" t="str">
        <x:v>Shop/Amazon abgestimmt; B2B VK2-5 Vorschlag</x:v>
      </x:c>
    </x:row>
    <x:row r="14">
      <x:c r="A14" s="10" t="str">
        <x:v>LUA-KB-EIS-500</x:v>
      </x:c>
      <x:c r="B14" s="10" t="str">
        <x:v>LUAMO Eislöffel – 500er-Karton</x:v>
      </x:c>
      <x:c r="C14" s="10" t="str">
        <x:v>Kleinbesteck, sortenrein</x:v>
      </x:c>
      <x:c r="D14" s="10" t="str">
        <x:v>Kleinbesteck</x:v>
      </x:c>
      <x:c r="E14" s="10" t="str">
        <x:v>Stück</x:v>
      </x:c>
      <x:c r="F14" s="46" t="n">
        <x:f>Y14/(1+G14/100)/X14</x:f>
        <x:v>0.06705882352941177</x:v>
      </x:c>
      <x:c r="G14" s="12" t="n">
        <x:v>19</x:v>
      </x:c>
      <x:c r="H14" s="46" t="n">
        <x:v>0.02532</x:v>
      </x:c>
      <x:c r="I14" s="13"/>
      <x:c r="J14" s="13"/>
      <x:c r="K14" s="10"/>
      <x:c r="L14" s="10"/>
      <x:c r="M14" s="10" t="str">
        <x:v>Entwurf</x:v>
      </x:c>
      <x:c r="N14" s="10" t="str">
        <x:v>B2B VK-Stufen gelten je Stück, Mindestmenge in Blatt 'Besteck-Staffeln'. Shop/Amazon brutto je Karton.</x:v>
      </x:c>
      <x:c r="O14" s="38" t="n">
        <x:v>0.03951</x:v>
      </x:c>
      <x:c r="P14" s="38" t="n">
        <x:v>0.0405</x:v>
      </x:c>
      <x:c r="Q14" s="38" t="n">
        <x:v>0.042</x:v>
      </x:c>
      <x:c r="R14" s="38" t="n">
        <x:v>0.0435</x:v>
      </x:c>
      <x:c r="S14" s="38" t="n">
        <x:v>0.045</x:v>
      </x:c>
      <x:c r="T14" s="38" t="n">
        <x:v>0.047</x:v>
      </x:c>
      <x:c r="U14" s="38" t="n">
        <x:v>0.049</x:v>
      </x:c>
      <x:c r="V14" s="38" t="n">
        <x:v>0.052</x:v>
      </x:c>
      <x:c r="W14" s="38"/>
      <x:c r="X14" t="n">
        <x:v>500</x:v>
      </x:c>
      <x:c r="Y14" s="47" t="n">
        <x:v>39.9</x:v>
      </x:c>
      <x:c r="Z14" s="47" t="n">
        <x:v>44.9</x:v>
      </x:c>
      <x:c r="AA14" s="47" t="n">
        <x:f>Z14/(1+G14/100)</x:f>
        <x:v>37.73109243697479</x:v>
      </x:c>
      <x:c r="AB14" t="str">
        <x:v>Amazon</x:v>
      </x:c>
      <x:c r="AC14" t="str">
        <x:v>Shop/Amazon abgestimmt; B2B Staffeln Vorschlag</x:v>
      </x:c>
    </x:row>
    <x:row r="15">
      <x:c r="A15" s="10" t="str">
        <x:v>LUA-KB-POMMES-500</x:v>
      </x:c>
      <x:c r="B15" s="10" t="str">
        <x:v>LUAMO Pommespicker – 500er-Karton</x:v>
      </x:c>
      <x:c r="C15" s="10" t="str">
        <x:v>Kleinbesteck, sortenrein</x:v>
      </x:c>
      <x:c r="D15" s="10" t="str">
        <x:v>Kleinbesteck</x:v>
      </x:c>
      <x:c r="E15" s="10" t="str">
        <x:v>Stück</x:v>
      </x:c>
      <x:c r="F15" s="46" t="n">
        <x:f>Y15/(1+G15/100)/X15</x:f>
        <x:v>0.05865546218487395</x:v>
      </x:c>
      <x:c r="G15" s="12" t="n">
        <x:v>19</x:v>
      </x:c>
      <x:c r="H15" s="46" t="n">
        <x:v>0.02532</x:v>
      </x:c>
      <x:c r="I15" s="13"/>
      <x:c r="J15" s="13"/>
      <x:c r="K15" s="10"/>
      <x:c r="L15" s="10"/>
      <x:c r="M15" s="10" t="str">
        <x:v>Entwurf</x:v>
      </x:c>
      <x:c r="N15" s="10" t="str">
        <x:v>B2B VK-Stufen gelten je Stück, Mindestmenge in Blatt 'Besteck-Staffeln'. Shop/Amazon brutto je Karton.</x:v>
      </x:c>
      <x:c r="O15" s="38" t="n">
        <x:v>0.03951</x:v>
      </x:c>
      <x:c r="P15" s="38" t="n">
        <x:v>0.0405</x:v>
      </x:c>
      <x:c r="Q15" s="38" t="n">
        <x:v>0.042</x:v>
      </x:c>
      <x:c r="R15" s="38" t="n">
        <x:v>0.0435</x:v>
      </x:c>
      <x:c r="S15" s="38" t="n">
        <x:v>0.045</x:v>
      </x:c>
      <x:c r="T15" s="38" t="n">
        <x:v>0.047</x:v>
      </x:c>
      <x:c r="U15" s="38" t="n">
        <x:v>0.049</x:v>
      </x:c>
      <x:c r="V15" s="38" t="n">
        <x:v>0.052</x:v>
      </x:c>
      <x:c r="W15" s="38"/>
      <x:c r="X15" t="n">
        <x:v>500</x:v>
      </x:c>
      <x:c r="Y15" s="47" t="n">
        <x:v>34.9</x:v>
      </x:c>
      <x:c r="Z15" s="47" t="n">
        <x:v>44.9</x:v>
      </x:c>
      <x:c r="AA15" s="47" t="n">
        <x:f>Z15/(1+G15/100)</x:f>
        <x:v>37.73109243697479</x:v>
      </x:c>
      <x:c r="AB15" t="str">
        <x:v>Amazon</x:v>
      </x:c>
      <x:c r="AC15" t="str">
        <x:v>Shop/Amazon abgestimmt; B2B Staffeln Vorschlag</x:v>
      </x:c>
    </x:row>
    <x:row r="16">
      <x:c r="A16" s="10" t="str">
        <x:v>LUA-MUSTER-BESTECK</x:v>
      </x:c>
      <x:c r="B16" s="10" t="str">
        <x:v>LUAMO Musterkarton Besteck</x:v>
      </x:c>
      <x:c r="C16" s="10" t="str">
        <x:v>Alle 5 Bestecktypen; genaue Bestückung offen</x:v>
      </x:c>
      <x:c r="D16" s="10" t="str">
        <x:v>Muster</x:v>
      </x:c>
      <x:c r="E16" s="10" t="str">
        <x:v>Karton</x:v>
      </x:c>
      <x:c r="F16" s="46" t="n">
        <x:v>7.5</x:v>
      </x:c>
      <x:c r="G16" s="12" t="n">
        <x:v>19</x:v>
      </x:c>
      <x:c r="H16" s="46"/>
      <x:c r="I16" s="13"/>
      <x:c r="J16" s="13"/>
      <x:c r="K16" s="10"/>
      <x:c r="L16" s="10"/>
      <x:c r="M16" s="10" t="str">
        <x:v>Entwurf</x:v>
      </x:c>
      <x:c r="N16" s="10" t="str">
        <x:v>Kostenlose Musterabgabe möglich; Musterinhalt und Versand noch klären.</x:v>
      </x:c>
      <x:c r="O16" s="38"/>
      <x:c r="P16" s="38"/>
      <x:c r="Q16" s="38"/>
      <x:c r="R16" s="38"/>
      <x:c r="S16" s="38"/>
      <x:c r="T16" s="38"/>
      <x:c r="U16" s="38"/>
      <x:c r="V16" s="38"/>
      <x:c r="W16" s="38"/>
      <x:c r="Y16" s="47"/>
      <x:c r="Z16" s="47"/>
      <x:c r="AA16" s="47"/>
      <x:c r="AB16" t="str">
        <x:v>Muster</x:v>
      </x:c>
      <x:c r="AC16" t="str">
        <x:v>Gratis oder Verkauf: 7,50 € netto</x:v>
      </x:c>
    </x:row>
    <x:row r="17">
      <x:c r="A17" s="10" t="str">
        <x:v>LUA-MUSTER-STROH</x:v>
      </x:c>
      <x:c r="B17" s="10" t="str">
        <x:v>LUAMO Musterkarton Trinkhalme – 50 Stück</x:v>
      </x:c>
      <x:c r="C17" s="10" t="str">
        <x:v>50 Trinkhalme, Längenverteilung offen</x:v>
      </x:c>
      <x:c r="D17" s="10" t="str">
        <x:v>Muster</x:v>
      </x:c>
      <x:c r="E17" s="10" t="str">
        <x:v>Karton</x:v>
      </x:c>
      <x:c r="F17" s="46" t="n">
        <x:v>4.9</x:v>
      </x:c>
      <x:c r="G17" s="12" t="n">
        <x:v>19</x:v>
      </x:c>
      <x:c r="H17" s="46"/>
      <x:c r="I17" s="13"/>
      <x:c r="J17" s="13"/>
      <x:c r="K17" s="10"/>
      <x:c r="L17" s="10"/>
      <x:c r="M17" s="10" t="str">
        <x:v>Entwurf</x:v>
      </x:c>
      <x:c r="N17" s="10" t="str">
        <x:v>Kostenlose Musterabgabe möglich; Musterinhalt und Versand noch klären.</x:v>
      </x:c>
      <x:c r="O17" s="38"/>
      <x:c r="P17" s="38"/>
      <x:c r="Q17" s="38"/>
      <x:c r="R17" s="38"/>
      <x:c r="S17" s="38"/>
      <x:c r="T17" s="38"/>
      <x:c r="U17" s="38"/>
      <x:c r="V17" s="38"/>
      <x:c r="W17" s="38"/>
      <x:c r="Y17" s="47"/>
      <x:c r="Z17" s="47"/>
      <x:c r="AA17" s="47"/>
      <x:c r="AB17" t="str">
        <x:v>Muster</x:v>
      </x:c>
      <x:c r="AC17" t="str">
        <x:v>Gratis oder Verkauf: 4,90 € netto</x:v>
      </x:c>
    </x:row>
    <x:row r="18">
      <x:c r="A18" s="10" t="n"/>
      <x:c r="B18" s="10" t="n"/>
      <x:c r="C18" s="10" t="n"/>
      <x:c r="D18" s="10" t="n"/>
      <x:c r="E18" s="10" t="n"/>
      <x:c r="F18" s="11" t="n"/>
      <x:c r="G18" s="12" t="n"/>
      <x:c r="H18" s="11" t="n"/>
      <x:c r="I18" s="13" t="n"/>
      <x:c r="J18" s="13" t="n"/>
      <x:c r="K18" s="10" t="n"/>
      <x:c r="L18" s="10" t="n"/>
      <x:c r="M18" s="10" t="n"/>
      <x:c r="N18" s="10" t="n"/>
    </x:row>
    <x:row r="19">
      <x:c r="A19" s="10" t="n"/>
      <x:c r="B19" s="10" t="n"/>
      <x:c r="C19" s="10" t="n"/>
      <x:c r="D19" s="10" t="n"/>
      <x:c r="E19" s="10" t="n"/>
      <x:c r="F19" s="11" t="n"/>
      <x:c r="G19" s="12" t="n"/>
      <x:c r="H19" s="11" t="n"/>
      <x:c r="I19" s="13" t="n"/>
      <x:c r="J19" s="13" t="n"/>
      <x:c r="K19" s="10" t="n"/>
      <x:c r="L19" s="10" t="n"/>
      <x:c r="M19" s="10" t="n"/>
      <x:c r="N19" s="10" t="n"/>
    </x:row>
    <x:row r="20">
      <x:c r="A20" s="10" t="n"/>
      <x:c r="B20" s="10" t="n"/>
      <x:c r="C20" s="10" t="n"/>
      <x:c r="D20" s="10" t="n"/>
      <x:c r="E20" s="10" t="n"/>
      <x:c r="F20" s="11" t="n"/>
      <x:c r="G20" s="12" t="n"/>
      <x:c r="H20" s="11" t="n"/>
      <x:c r="I20" s="13" t="n"/>
      <x:c r="J20" s="13" t="n"/>
      <x:c r="K20" s="10" t="n"/>
      <x:c r="L20" s="10" t="n"/>
      <x:c r="M20" s="10" t="n"/>
      <x:c r="N20" s="10" t="n"/>
    </x:row>
    <x:row r="21">
      <x:c r="A21" s="10" t="n"/>
      <x:c r="B21" s="10" t="n"/>
      <x:c r="C21" s="10" t="n"/>
      <x:c r="D21" s="10" t="n"/>
      <x:c r="E21" s="10" t="n"/>
      <x:c r="F21" s="11" t="n"/>
      <x:c r="G21" s="12" t="n"/>
      <x:c r="H21" s="11" t="n"/>
      <x:c r="I21" s="13" t="n"/>
      <x:c r="J21" s="13" t="n"/>
      <x:c r="K21" s="10" t="n"/>
      <x:c r="L21" s="10" t="n"/>
      <x:c r="M21" s="10" t="n"/>
      <x:c r="N21" s="10" t="n"/>
    </x:row>
    <x:row r="22">
      <x:c r="A22" s="10" t="n"/>
      <x:c r="B22" s="10" t="n"/>
      <x:c r="C22" s="10" t="n"/>
      <x:c r="D22" s="10" t="n"/>
      <x:c r="E22" s="10" t="n"/>
      <x:c r="F22" s="11" t="n"/>
      <x:c r="G22" s="12" t="n"/>
      <x:c r="H22" s="11" t="n"/>
      <x:c r="I22" s="13" t="n"/>
      <x:c r="J22" s="13" t="n"/>
      <x:c r="K22" s="10" t="n"/>
      <x:c r="L22" s="10" t="n"/>
      <x:c r="M22" s="10" t="n"/>
      <x:c r="N22" s="10" t="n"/>
    </x:row>
    <x:row r="23">
      <x:c r="A23" s="10" t="n"/>
      <x:c r="B23" s="10" t="n"/>
      <x:c r="C23" s="10" t="n"/>
      <x:c r="D23" s="10" t="n"/>
      <x:c r="E23" s="10" t="n"/>
      <x:c r="F23" s="11" t="n"/>
      <x:c r="G23" s="12" t="n"/>
      <x:c r="H23" s="11" t="n"/>
      <x:c r="I23" s="13" t="n"/>
      <x:c r="J23" s="13" t="n"/>
      <x:c r="K23" s="10" t="n"/>
      <x:c r="L23" s="10" t="n"/>
      <x:c r="M23" s="10" t="n"/>
      <x:c r="N23" s="10" t="n"/>
    </x:row>
    <x:row r="24">
      <x:c r="A24" s="10" t="n"/>
      <x:c r="B24" s="10" t="n"/>
      <x:c r="C24" s="10" t="n"/>
      <x:c r="D24" s="10" t="n"/>
      <x:c r="E24" s="10" t="n"/>
      <x:c r="F24" s="11" t="n"/>
      <x:c r="G24" s="12" t="n"/>
      <x:c r="H24" s="11" t="n"/>
      <x:c r="I24" s="13" t="n"/>
      <x:c r="J24" s="13" t="n"/>
      <x:c r="K24" s="10" t="n"/>
      <x:c r="L24" s="10" t="n"/>
      <x:c r="M24" s="10" t="n"/>
      <x:c r="N24" s="10" t="n"/>
    </x:row>
    <x:row r="25">
      <x:c r="A25" s="10" t="n"/>
      <x:c r="B25" s="10" t="n"/>
      <x:c r="C25" s="10" t="n"/>
      <x:c r="D25" s="10" t="n"/>
      <x:c r="E25" s="10" t="n"/>
      <x:c r="F25" s="11" t="n"/>
      <x:c r="G25" s="12" t="n"/>
      <x:c r="H25" s="11" t="n"/>
      <x:c r="I25" s="13" t="n"/>
      <x:c r="J25" s="13" t="n"/>
      <x:c r="K25" s="10" t="n"/>
      <x:c r="L25" s="10" t="n"/>
      <x:c r="M25" s="10" t="n"/>
      <x:c r="N25" s="10" t="n"/>
    </x:row>
    <x:row r="26">
      <x:c r="A26" s="10" t="n"/>
      <x:c r="B26" s="10" t="n"/>
      <x:c r="C26" s="10" t="n"/>
      <x:c r="D26" s="10" t="n"/>
      <x:c r="E26" s="10" t="n"/>
      <x:c r="F26" s="11" t="n"/>
      <x:c r="G26" s="12" t="n"/>
      <x:c r="H26" s="11" t="n"/>
      <x:c r="I26" s="13" t="n"/>
      <x:c r="J26" s="13" t="n"/>
      <x:c r="K26" s="10" t="n"/>
      <x:c r="L26" s="10" t="n"/>
      <x:c r="M26" s="10" t="n"/>
      <x:c r="N26" s="10" t="n"/>
    </x:row>
    <x:row r="27">
      <x:c r="A27" s="10" t="n"/>
      <x:c r="B27" s="10" t="n"/>
      <x:c r="C27" s="10" t="n"/>
      <x:c r="D27" s="10" t="n"/>
      <x:c r="E27" s="10" t="n"/>
      <x:c r="F27" s="11" t="n"/>
      <x:c r="G27" s="12" t="n"/>
      <x:c r="H27" s="11" t="n"/>
      <x:c r="I27" s="13" t="n"/>
      <x:c r="J27" s="13" t="n"/>
      <x:c r="K27" s="10" t="n"/>
      <x:c r="L27" s="10" t="n"/>
      <x:c r="M27" s="10" t="n"/>
      <x:c r="N27" s="10" t="n"/>
    </x:row>
    <x:row r="28">
      <x:c r="A28" s="10" t="n"/>
      <x:c r="B28" s="10" t="n"/>
      <x:c r="C28" s="10" t="n"/>
      <x:c r="D28" s="10" t="n"/>
      <x:c r="E28" s="10" t="n"/>
      <x:c r="F28" s="11" t="n"/>
      <x:c r="G28" s="12" t="n"/>
      <x:c r="H28" s="11" t="n"/>
      <x:c r="I28" s="13" t="n"/>
      <x:c r="J28" s="13" t="n"/>
      <x:c r="K28" s="10" t="n"/>
      <x:c r="L28" s="10" t="n"/>
      <x:c r="M28" s="10" t="n"/>
      <x:c r="N28" s="10" t="n"/>
    </x:row>
    <x:row r="29">
      <x:c r="A29" s="10" t="n"/>
      <x:c r="B29" s="10" t="n"/>
      <x:c r="C29" s="10" t="n"/>
      <x:c r="D29" s="10" t="n"/>
      <x:c r="E29" s="10" t="n"/>
      <x:c r="F29" s="11" t="n"/>
      <x:c r="G29" s="12" t="n"/>
      <x:c r="H29" s="11" t="n"/>
      <x:c r="I29" s="13" t="n"/>
      <x:c r="J29" s="13" t="n"/>
      <x:c r="K29" s="10" t="n"/>
      <x:c r="L29" s="10" t="n"/>
      <x:c r="M29" s="10" t="n"/>
      <x:c r="N29" s="10" t="n"/>
    </x:row>
    <x:row r="30">
      <x:c r="A30" s="10" t="n"/>
      <x:c r="B30" s="10" t="n"/>
      <x:c r="C30" s="10" t="n"/>
      <x:c r="D30" s="10" t="n"/>
      <x:c r="E30" s="10" t="n"/>
      <x:c r="F30" s="11" t="n"/>
      <x:c r="G30" s="12" t="n"/>
      <x:c r="H30" s="11" t="n"/>
      <x:c r="I30" s="13" t="n"/>
      <x:c r="J30" s="13" t="n"/>
      <x:c r="K30" s="10" t="n"/>
      <x:c r="L30" s="10" t="n"/>
      <x:c r="M30" s="10" t="n"/>
      <x:c r="N30" s="10" t="n"/>
    </x:row>
    <x:row r="31">
      <x:c r="A31" s="10" t="n"/>
      <x:c r="B31" s="10" t="n"/>
      <x:c r="C31" s="10" t="n"/>
      <x:c r="D31" s="10" t="n"/>
      <x:c r="E31" s="10" t="n"/>
      <x:c r="F31" s="11" t="n"/>
      <x:c r="G31" s="12" t="n"/>
      <x:c r="H31" s="11" t="n"/>
      <x:c r="I31" s="13" t="n"/>
      <x:c r="J31" s="13" t="n"/>
      <x:c r="K31" s="10" t="n"/>
      <x:c r="L31" s="10" t="n"/>
      <x:c r="M31" s="10" t="n"/>
      <x:c r="N31" s="10" t="n"/>
    </x:row>
    <x:row r="32">
      <x:c r="A32" s="10" t="n"/>
      <x:c r="B32" s="10" t="n"/>
      <x:c r="C32" s="10" t="n"/>
      <x:c r="D32" s="10" t="n"/>
      <x:c r="E32" s="10" t="n"/>
      <x:c r="F32" s="11" t="n"/>
      <x:c r="G32" s="12" t="n"/>
      <x:c r="H32" s="11" t="n"/>
      <x:c r="I32" s="13" t="n"/>
      <x:c r="J32" s="13" t="n"/>
      <x:c r="K32" s="10" t="n"/>
      <x:c r="L32" s="10" t="n"/>
      <x:c r="M32" s="10" t="n"/>
      <x:c r="N32" s="10" t="n"/>
    </x:row>
    <x:row r="33">
      <x:c r="A33" s="10" t="n"/>
      <x:c r="B33" s="10" t="n"/>
      <x:c r="C33" s="10" t="n"/>
      <x:c r="D33" s="10" t="n"/>
      <x:c r="E33" s="10" t="n"/>
      <x:c r="F33" s="11" t="n"/>
      <x:c r="G33" s="12" t="n"/>
      <x:c r="H33" s="11" t="n"/>
      <x:c r="I33" s="13" t="n"/>
      <x:c r="J33" s="13" t="n"/>
      <x:c r="K33" s="10" t="n"/>
      <x:c r="L33" s="10" t="n"/>
      <x:c r="M33" s="10" t="n"/>
      <x:c r="N33" s="10" t="n"/>
    </x:row>
    <x:row r="34">
      <x:c r="A34" s="10" t="n"/>
      <x:c r="B34" s="10" t="n"/>
      <x:c r="C34" s="10" t="n"/>
      <x:c r="D34" s="10" t="n"/>
      <x:c r="E34" s="10" t="n"/>
      <x:c r="F34" s="11" t="n"/>
      <x:c r="G34" s="12" t="n"/>
      <x:c r="H34" s="11" t="n"/>
      <x:c r="I34" s="13" t="n"/>
      <x:c r="J34" s="13" t="n"/>
      <x:c r="K34" s="10" t="n"/>
      <x:c r="L34" s="10" t="n"/>
      <x:c r="M34" s="10" t="n"/>
      <x:c r="N34" s="10" t="n"/>
    </x:row>
    <x:row r="35">
      <x:c r="A35" s="10" t="n"/>
      <x:c r="B35" s="10" t="n"/>
      <x:c r="C35" s="10" t="n"/>
      <x:c r="D35" s="10" t="n"/>
      <x:c r="E35" s="10" t="n"/>
      <x:c r="F35" s="11" t="n"/>
      <x:c r="G35" s="12" t="n"/>
      <x:c r="H35" s="11" t="n"/>
      <x:c r="I35" s="13" t="n"/>
      <x:c r="J35" s="13" t="n"/>
      <x:c r="K35" s="10" t="n"/>
      <x:c r="L35" s="10" t="n"/>
      <x:c r="M35" s="10" t="n"/>
      <x:c r="N35" s="10" t="n"/>
    </x:row>
    <x:row r="36">
      <x:c r="A36" s="10" t="n"/>
      <x:c r="B36" s="10" t="n"/>
      <x:c r="C36" s="10" t="n"/>
      <x:c r="D36" s="10" t="n"/>
      <x:c r="E36" s="10" t="n"/>
      <x:c r="F36" s="11" t="n"/>
      <x:c r="G36" s="12" t="n"/>
      <x:c r="H36" s="11" t="n"/>
      <x:c r="I36" s="13" t="n"/>
      <x:c r="J36" s="13" t="n"/>
      <x:c r="K36" s="10" t="n"/>
      <x:c r="L36" s="10" t="n"/>
      <x:c r="M36" s="10" t="n"/>
      <x:c r="N36" s="10" t="n"/>
    </x:row>
    <x:row r="37">
      <x:c r="A37" s="10" t="n"/>
      <x:c r="B37" s="10" t="n"/>
      <x:c r="C37" s="10" t="n"/>
      <x:c r="D37" s="10" t="n"/>
      <x:c r="E37" s="10" t="n"/>
      <x:c r="F37" s="11" t="n"/>
      <x:c r="G37" s="12" t="n"/>
      <x:c r="H37" s="11" t="n"/>
      <x:c r="I37" s="13" t="n"/>
      <x:c r="J37" s="13" t="n"/>
      <x:c r="K37" s="10" t="n"/>
      <x:c r="L37" s="10" t="n"/>
      <x:c r="M37" s="10" t="n"/>
      <x:c r="N37" s="10" t="n"/>
    </x:row>
    <x:row r="38">
      <x:c r="A38" s="10" t="n"/>
      <x:c r="B38" s="10" t="n"/>
      <x:c r="C38" s="10" t="n"/>
      <x:c r="D38" s="10" t="n"/>
      <x:c r="E38" s="10" t="n"/>
      <x:c r="F38" s="11" t="n"/>
      <x:c r="G38" s="12" t="n"/>
      <x:c r="H38" s="11" t="n"/>
      <x:c r="I38" s="13" t="n"/>
      <x:c r="J38" s="13" t="n"/>
      <x:c r="K38" s="10" t="n"/>
      <x:c r="L38" s="10" t="n"/>
      <x:c r="M38" s="10" t="n"/>
      <x:c r="N38" s="10" t="n"/>
    </x:row>
    <x:row r="39">
      <x:c r="A39" s="10" t="n"/>
      <x:c r="B39" s="10" t="n"/>
      <x:c r="C39" s="10" t="n"/>
      <x:c r="D39" s="10" t="n"/>
      <x:c r="E39" s="10" t="n"/>
      <x:c r="F39" s="11" t="n"/>
      <x:c r="G39" s="12" t="n"/>
      <x:c r="H39" s="11" t="n"/>
      <x:c r="I39" s="13" t="n"/>
      <x:c r="J39" s="13" t="n"/>
      <x:c r="K39" s="10" t="n"/>
      <x:c r="L39" s="10" t="n"/>
      <x:c r="M39" s="10" t="n"/>
      <x:c r="N39" s="10" t="n"/>
    </x:row>
    <x:row r="40">
      <x:c r="A40" s="10" t="n"/>
      <x:c r="B40" s="10" t="n"/>
      <x:c r="C40" s="10" t="n"/>
      <x:c r="D40" s="10" t="n"/>
      <x:c r="E40" s="10" t="n"/>
      <x:c r="F40" s="11" t="n"/>
      <x:c r="G40" s="12" t="n"/>
      <x:c r="H40" s="11" t="n"/>
      <x:c r="I40" s="13" t="n"/>
      <x:c r="J40" s="13" t="n"/>
      <x:c r="K40" s="10" t="n"/>
      <x:c r="L40" s="10" t="n"/>
      <x:c r="M40" s="10" t="n"/>
      <x:c r="N40" s="10" t="n"/>
    </x:row>
    <x:row r="41">
      <x:c r="A41" s="10" t="n"/>
      <x:c r="B41" s="10" t="n"/>
      <x:c r="C41" s="10" t="n"/>
      <x:c r="D41" s="10" t="n"/>
      <x:c r="E41" s="10" t="n"/>
      <x:c r="F41" s="11" t="n"/>
      <x:c r="G41" s="12" t="n"/>
      <x:c r="H41" s="11" t="n"/>
      <x:c r="I41" s="13" t="n"/>
      <x:c r="J41" s="13" t="n"/>
      <x:c r="K41" s="10" t="n"/>
      <x:c r="L41" s="10" t="n"/>
      <x:c r="M41" s="10" t="n"/>
      <x:c r="N41" s="10" t="n"/>
    </x:row>
    <x:row r="42">
      <x:c r="A42" s="10" t="n"/>
      <x:c r="B42" s="10" t="n"/>
      <x:c r="C42" s="10" t="n"/>
      <x:c r="D42" s="10" t="n"/>
      <x:c r="E42" s="10" t="n"/>
      <x:c r="F42" s="11" t="n"/>
      <x:c r="G42" s="12" t="n"/>
      <x:c r="H42" s="11" t="n"/>
      <x:c r="I42" s="13" t="n"/>
      <x:c r="J42" s="13" t="n"/>
      <x:c r="K42" s="10" t="n"/>
      <x:c r="L42" s="10" t="n"/>
      <x:c r="M42" s="10" t="n"/>
      <x:c r="N42" s="10" t="n"/>
    </x:row>
    <x:row r="43">
      <x:c r="A43" s="10" t="n"/>
      <x:c r="B43" s="10" t="n"/>
      <x:c r="C43" s="10" t="n"/>
      <x:c r="D43" s="10" t="n"/>
      <x:c r="E43" s="10" t="n"/>
      <x:c r="F43" s="11" t="n"/>
      <x:c r="G43" s="12" t="n"/>
      <x:c r="H43" s="11" t="n"/>
      <x:c r="I43" s="13" t="n"/>
      <x:c r="J43" s="13" t="n"/>
      <x:c r="K43" s="10" t="n"/>
      <x:c r="L43" s="10" t="n"/>
      <x:c r="M43" s="10" t="n"/>
      <x:c r="N43" s="10" t="n"/>
    </x:row>
    <x:row r="44">
      <x:c r="A44" s="10" t="n"/>
      <x:c r="B44" s="10" t="n"/>
      <x:c r="C44" s="10" t="n"/>
      <x:c r="D44" s="10" t="n"/>
      <x:c r="E44" s="10" t="n"/>
      <x:c r="F44" s="11" t="n"/>
      <x:c r="G44" s="12" t="n"/>
      <x:c r="H44" s="11" t="n"/>
      <x:c r="I44" s="13" t="n"/>
      <x:c r="J44" s="13" t="n"/>
      <x:c r="K44" s="10" t="n"/>
      <x:c r="L44" s="10" t="n"/>
      <x:c r="M44" s="10" t="n"/>
      <x:c r="N44" s="10" t="n"/>
    </x:row>
    <x:row r="45">
      <x:c r="A45" s="10" t="n"/>
      <x:c r="B45" s="10" t="n"/>
      <x:c r="C45" s="10" t="n"/>
      <x:c r="D45" s="10" t="n"/>
      <x:c r="E45" s="10" t="n"/>
      <x:c r="F45" s="11" t="n"/>
      <x:c r="G45" s="12" t="n"/>
      <x:c r="H45" s="11" t="n"/>
      <x:c r="I45" s="13" t="n"/>
      <x:c r="J45" s="13" t="n"/>
      <x:c r="K45" s="10" t="n"/>
      <x:c r="L45" s="10" t="n"/>
      <x:c r="M45" s="10" t="n"/>
      <x:c r="N45" s="10" t="n"/>
    </x:row>
    <x:row r="46">
      <x:c r="A46" s="10" t="n"/>
      <x:c r="B46" s="10" t="n"/>
      <x:c r="C46" s="10" t="n"/>
      <x:c r="D46" s="10" t="n"/>
      <x:c r="E46" s="10" t="n"/>
      <x:c r="F46" s="11" t="n"/>
      <x:c r="G46" s="12" t="n"/>
      <x:c r="H46" s="11" t="n"/>
      <x:c r="I46" s="13" t="n"/>
      <x:c r="J46" s="13" t="n"/>
      <x:c r="K46" s="10" t="n"/>
      <x:c r="L46" s="10" t="n"/>
      <x:c r="M46" s="10" t="n"/>
      <x:c r="N46" s="10" t="n"/>
    </x:row>
    <x:row r="47">
      <x:c r="A47" s="10" t="n"/>
      <x:c r="B47" s="10" t="n"/>
      <x:c r="C47" s="10" t="n"/>
      <x:c r="D47" s="10" t="n"/>
      <x:c r="E47" s="10" t="n"/>
      <x:c r="F47" s="11" t="n"/>
      <x:c r="G47" s="12" t="n"/>
      <x:c r="H47" s="11" t="n"/>
      <x:c r="I47" s="13" t="n"/>
      <x:c r="J47" s="13" t="n"/>
      <x:c r="K47" s="10" t="n"/>
      <x:c r="L47" s="10" t="n"/>
      <x:c r="M47" s="10" t="n"/>
      <x:c r="N47" s="10" t="n"/>
    </x:row>
    <x:row r="48">
      <x:c r="A48" s="10" t="n"/>
      <x:c r="B48" s="10" t="n"/>
      <x:c r="C48" s="10" t="n"/>
      <x:c r="D48" s="10" t="n"/>
      <x:c r="E48" s="10" t="n"/>
      <x:c r="F48" s="11" t="n"/>
      <x:c r="G48" s="12" t="n"/>
      <x:c r="H48" s="11" t="n"/>
      <x:c r="I48" s="13" t="n"/>
      <x:c r="J48" s="13" t="n"/>
      <x:c r="K48" s="10" t="n"/>
      <x:c r="L48" s="10" t="n"/>
      <x:c r="M48" s="10" t="n"/>
      <x:c r="N48" s="10" t="n"/>
    </x:row>
    <x:row r="49">
      <x:c r="A49" s="10" t="n"/>
      <x:c r="B49" s="10" t="n"/>
      <x:c r="C49" s="10" t="n"/>
      <x:c r="D49" s="10" t="n"/>
      <x:c r="E49" s="10" t="n"/>
      <x:c r="F49" s="11" t="n"/>
      <x:c r="G49" s="12" t="n"/>
      <x:c r="H49" s="11" t="n"/>
      <x:c r="I49" s="13" t="n"/>
      <x:c r="J49" s="13" t="n"/>
      <x:c r="K49" s="10" t="n"/>
      <x:c r="L49" s="10" t="n"/>
      <x:c r="M49" s="10" t="n"/>
      <x:c r="N49" s="10" t="n"/>
    </x:row>
    <x:row r="50">
      <x:c r="A50" s="10" t="n"/>
      <x:c r="B50" s="10" t="n"/>
      <x:c r="C50" s="10" t="n"/>
      <x:c r="D50" s="10" t="n"/>
      <x:c r="E50" s="10" t="n"/>
      <x:c r="F50" s="11" t="n"/>
      <x:c r="G50" s="12" t="n"/>
      <x:c r="H50" s="11" t="n"/>
      <x:c r="I50" s="13" t="n"/>
      <x:c r="J50" s="13" t="n"/>
      <x:c r="K50" s="10" t="n"/>
      <x:c r="L50" s="10" t="n"/>
      <x:c r="M50" s="10" t="n"/>
      <x:c r="N50" s="10" t="n"/>
    </x:row>
    <x:row r="51">
      <x:c r="A51" s="10" t="n"/>
      <x:c r="B51" s="10" t="n"/>
      <x:c r="C51" s="10" t="n"/>
      <x:c r="D51" s="10" t="n"/>
      <x:c r="E51" s="10" t="n"/>
      <x:c r="F51" s="11" t="n"/>
      <x:c r="G51" s="12" t="n"/>
      <x:c r="H51" s="11" t="n"/>
      <x:c r="I51" s="13" t="n"/>
      <x:c r="J51" s="13" t="n"/>
      <x:c r="K51" s="10" t="n"/>
      <x:c r="L51" s="10" t="n"/>
      <x:c r="M51" s="10" t="n"/>
      <x:c r="N51" s="10" t="n"/>
    </x:row>
    <x:row r="52">
      <x:c r="A52" s="10" t="n"/>
      <x:c r="B52" s="10" t="n"/>
      <x:c r="C52" s="10" t="n"/>
      <x:c r="D52" s="10" t="n"/>
      <x:c r="E52" s="10" t="n"/>
      <x:c r="F52" s="11" t="n"/>
      <x:c r="G52" s="12" t="n"/>
      <x:c r="H52" s="11" t="n"/>
      <x:c r="I52" s="13" t="n"/>
      <x:c r="J52" s="13" t="n"/>
      <x:c r="K52" s="10" t="n"/>
      <x:c r="L52" s="10" t="n"/>
      <x:c r="M52" s="10" t="n"/>
      <x:c r="N52" s="10" t="n"/>
    </x:row>
    <x:row r="53">
      <x:c r="A53" s="10" t="n"/>
      <x:c r="B53" s="10" t="n"/>
      <x:c r="C53" s="10" t="n"/>
      <x:c r="D53" s="10" t="n"/>
      <x:c r="E53" s="10" t="n"/>
      <x:c r="F53" s="11" t="n"/>
      <x:c r="G53" s="12" t="n"/>
      <x:c r="H53" s="11" t="n"/>
      <x:c r="I53" s="13" t="n"/>
      <x:c r="J53" s="13" t="n"/>
      <x:c r="K53" s="10" t="n"/>
      <x:c r="L53" s="10" t="n"/>
      <x:c r="M53" s="10" t="n"/>
      <x:c r="N53" s="10" t="n"/>
    </x:row>
    <x:row r="54">
      <x:c r="A54" s="10" t="n"/>
      <x:c r="B54" s="10" t="n"/>
      <x:c r="C54" s="10" t="n"/>
      <x:c r="D54" s="10" t="n"/>
      <x:c r="E54" s="10" t="n"/>
      <x:c r="F54" s="11" t="n"/>
      <x:c r="G54" s="12" t="n"/>
      <x:c r="H54" s="11" t="n"/>
      <x:c r="I54" s="13" t="n"/>
      <x:c r="J54" s="13" t="n"/>
      <x:c r="K54" s="10" t="n"/>
      <x:c r="L54" s="10" t="n"/>
      <x:c r="M54" s="10" t="n"/>
      <x:c r="N54" s="10" t="n"/>
    </x:row>
    <x:row r="55">
      <x:c r="A55" s="10" t="n"/>
      <x:c r="B55" s="10" t="n"/>
      <x:c r="C55" s="10" t="n"/>
      <x:c r="D55" s="10" t="n"/>
      <x:c r="E55" s="10" t="n"/>
      <x:c r="F55" s="11" t="n"/>
      <x:c r="G55" s="12" t="n"/>
      <x:c r="H55" s="11" t="n"/>
      <x:c r="I55" s="13" t="n"/>
      <x:c r="J55" s="13" t="n"/>
      <x:c r="K55" s="10" t="n"/>
      <x:c r="L55" s="10" t="n"/>
      <x:c r="M55" s="10" t="n"/>
      <x:c r="N55" s="10" t="n"/>
    </x:row>
    <x:row r="56">
      <x:c r="A56" s="10" t="n"/>
      <x:c r="B56" s="10" t="n"/>
      <x:c r="C56" s="10" t="n"/>
      <x:c r="D56" s="10" t="n"/>
      <x:c r="E56" s="10" t="n"/>
      <x:c r="F56" s="11" t="n"/>
      <x:c r="G56" s="12" t="n"/>
      <x:c r="H56" s="11" t="n"/>
      <x:c r="I56" s="13" t="n"/>
      <x:c r="J56" s="13" t="n"/>
      <x:c r="K56" s="10" t="n"/>
      <x:c r="L56" s="10" t="n"/>
      <x:c r="M56" s="10" t="n"/>
      <x:c r="N56" s="10" t="n"/>
    </x:row>
    <x:row r="57">
      <x:c r="A57" s="10" t="n"/>
      <x:c r="B57" s="10" t="n"/>
      <x:c r="C57" s="10" t="n"/>
      <x:c r="D57" s="10" t="n"/>
      <x:c r="E57" s="10" t="n"/>
      <x:c r="F57" s="11" t="n"/>
      <x:c r="G57" s="12" t="n"/>
      <x:c r="H57" s="11" t="n"/>
      <x:c r="I57" s="13" t="n"/>
      <x:c r="J57" s="13" t="n"/>
      <x:c r="K57" s="10" t="n"/>
      <x:c r="L57" s="10" t="n"/>
      <x:c r="M57" s="10" t="n"/>
      <x:c r="N57" s="10" t="n"/>
    </x:row>
    <x:row r="58">
      <x:c r="A58" s="10" t="n"/>
      <x:c r="B58" s="10" t="n"/>
      <x:c r="C58" s="10" t="n"/>
      <x:c r="D58" s="10" t="n"/>
      <x:c r="E58" s="10" t="n"/>
      <x:c r="F58" s="11" t="n"/>
      <x:c r="G58" s="12" t="n"/>
      <x:c r="H58" s="11" t="n"/>
      <x:c r="I58" s="13" t="n"/>
      <x:c r="J58" s="13" t="n"/>
      <x:c r="K58" s="10" t="n"/>
      <x:c r="L58" s="10" t="n"/>
      <x:c r="M58" s="10" t="n"/>
      <x:c r="N58" s="10" t="n"/>
    </x:row>
    <x:row r="59">
      <x:c r="A59" s="10" t="n"/>
      <x:c r="B59" s="10" t="n"/>
      <x:c r="C59" s="10" t="n"/>
      <x:c r="D59" s="10" t="n"/>
      <x:c r="E59" s="10" t="n"/>
      <x:c r="F59" s="11" t="n"/>
      <x:c r="G59" s="12" t="n"/>
      <x:c r="H59" s="11" t="n"/>
      <x:c r="I59" s="13" t="n"/>
      <x:c r="J59" s="13" t="n"/>
      <x:c r="K59" s="10" t="n"/>
      <x:c r="L59" s="10" t="n"/>
      <x:c r="M59" s="10" t="n"/>
      <x:c r="N59" s="10" t="n"/>
    </x:row>
    <x:row r="60">
      <x:c r="A60" s="10" t="n"/>
      <x:c r="B60" s="10" t="n"/>
      <x:c r="C60" s="10" t="n"/>
      <x:c r="D60" s="10" t="n"/>
      <x:c r="E60" s="10" t="n"/>
      <x:c r="F60" s="11" t="n"/>
      <x:c r="G60" s="12" t="n"/>
      <x:c r="H60" s="11" t="n"/>
      <x:c r="I60" s="13" t="n"/>
      <x:c r="J60" s="13" t="n"/>
      <x:c r="K60" s="10" t="n"/>
      <x:c r="L60" s="10" t="n"/>
      <x:c r="M60" s="10" t="n"/>
      <x:c r="N60" s="10" t="n"/>
    </x:row>
    <x:row r="61">
      <x:c r="A61" s="10" t="n"/>
      <x:c r="B61" s="10" t="n"/>
      <x:c r="C61" s="10" t="n"/>
      <x:c r="D61" s="10" t="n"/>
      <x:c r="E61" s="10" t="n"/>
      <x:c r="F61" s="11" t="n"/>
      <x:c r="G61" s="12" t="n"/>
      <x:c r="H61" s="11" t="n"/>
      <x:c r="I61" s="13" t="n"/>
      <x:c r="J61" s="13" t="n"/>
      <x:c r="K61" s="10" t="n"/>
      <x:c r="L61" s="10" t="n"/>
      <x:c r="M61" s="10" t="n"/>
      <x:c r="N61" s="10" t="n"/>
    </x:row>
    <x:row r="62">
      <x:c r="A62" s="10" t="n"/>
      <x:c r="B62" s="10" t="n"/>
      <x:c r="C62" s="10" t="n"/>
      <x:c r="D62" s="10" t="n"/>
      <x:c r="E62" s="10" t="n"/>
      <x:c r="F62" s="11" t="n"/>
      <x:c r="G62" s="12" t="n"/>
      <x:c r="H62" s="11" t="n"/>
      <x:c r="I62" s="13" t="n"/>
      <x:c r="J62" s="13" t="n"/>
      <x:c r="K62" s="10" t="n"/>
      <x:c r="L62" s="10" t="n"/>
      <x:c r="M62" s="10" t="n"/>
      <x:c r="N62" s="10" t="n"/>
    </x:row>
    <x:row r="63">
      <x:c r="A63" s="10" t="n"/>
      <x:c r="B63" s="10" t="n"/>
      <x:c r="C63" s="10" t="n"/>
      <x:c r="D63" s="10" t="n"/>
      <x:c r="E63" s="10" t="n"/>
      <x:c r="F63" s="11" t="n"/>
      <x:c r="G63" s="12" t="n"/>
      <x:c r="H63" s="11" t="n"/>
      <x:c r="I63" s="13" t="n"/>
      <x:c r="J63" s="13" t="n"/>
      <x:c r="K63" s="10" t="n"/>
      <x:c r="L63" s="10" t="n"/>
      <x:c r="M63" s="10" t="n"/>
      <x:c r="N63" s="10" t="n"/>
    </x:row>
    <x:row r="64">
      <x:c r="A64" s="10" t="n"/>
      <x:c r="B64" s="10" t="n"/>
      <x:c r="C64" s="10" t="n"/>
      <x:c r="D64" s="10" t="n"/>
      <x:c r="E64" s="10" t="n"/>
      <x:c r="F64" s="11" t="n"/>
      <x:c r="G64" s="12" t="n"/>
      <x:c r="H64" s="11" t="n"/>
      <x:c r="I64" s="13" t="n"/>
      <x:c r="J64" s="13" t="n"/>
      <x:c r="K64" s="10" t="n"/>
      <x:c r="L64" s="10" t="n"/>
      <x:c r="M64" s="10" t="n"/>
      <x:c r="N64" s="10" t="n"/>
    </x:row>
    <x:row r="65">
      <x:c r="A65" s="10" t="n"/>
      <x:c r="B65" s="10" t="n"/>
      <x:c r="C65" s="10" t="n"/>
      <x:c r="D65" s="10" t="n"/>
      <x:c r="E65" s="10" t="n"/>
      <x:c r="F65" s="11" t="n"/>
      <x:c r="G65" s="12" t="n"/>
      <x:c r="H65" s="11" t="n"/>
      <x:c r="I65" s="13" t="n"/>
      <x:c r="J65" s="13" t="n"/>
      <x:c r="K65" s="10" t="n"/>
      <x:c r="L65" s="10" t="n"/>
      <x:c r="M65" s="10" t="n"/>
      <x:c r="N65" s="10" t="n"/>
    </x:row>
    <x:row r="66">
      <x:c r="A66" s="10" t="n"/>
      <x:c r="B66" s="10" t="n"/>
      <x:c r="C66" s="10" t="n"/>
      <x:c r="D66" s="10" t="n"/>
      <x:c r="E66" s="10" t="n"/>
      <x:c r="F66" s="11" t="n"/>
      <x:c r="G66" s="12" t="n"/>
      <x:c r="H66" s="11" t="n"/>
      <x:c r="I66" s="13" t="n"/>
      <x:c r="J66" s="13" t="n"/>
      <x:c r="K66" s="10" t="n"/>
      <x:c r="L66" s="10" t="n"/>
      <x:c r="M66" s="10" t="n"/>
      <x:c r="N66" s="10" t="n"/>
    </x:row>
    <x:row r="67">
      <x:c r="A67" s="10" t="n"/>
      <x:c r="B67" s="10" t="n"/>
      <x:c r="C67" s="10" t="n"/>
      <x:c r="D67" s="10" t="n"/>
      <x:c r="E67" s="10" t="n"/>
      <x:c r="F67" s="11" t="n"/>
      <x:c r="G67" s="12" t="n"/>
      <x:c r="H67" s="11" t="n"/>
      <x:c r="I67" s="13" t="n"/>
      <x:c r="J67" s="13" t="n"/>
      <x:c r="K67" s="10" t="n"/>
      <x:c r="L67" s="10" t="n"/>
      <x:c r="M67" s="10" t="n"/>
      <x:c r="N67" s="10" t="n"/>
    </x:row>
    <x:row r="68">
      <x:c r="A68" s="10" t="n"/>
      <x:c r="B68" s="10" t="n"/>
      <x:c r="C68" s="10" t="n"/>
      <x:c r="D68" s="10" t="n"/>
      <x:c r="E68" s="10" t="n"/>
      <x:c r="F68" s="11" t="n"/>
      <x:c r="G68" s="12" t="n"/>
      <x:c r="H68" s="11" t="n"/>
      <x:c r="I68" s="13" t="n"/>
      <x:c r="J68" s="13" t="n"/>
      <x:c r="K68" s="10" t="n"/>
      <x:c r="L68" s="10" t="n"/>
      <x:c r="M68" s="10" t="n"/>
      <x:c r="N68" s="10" t="n"/>
    </x:row>
    <x:row r="69">
      <x:c r="A69" s="10" t="n"/>
      <x:c r="B69" s="10" t="n"/>
      <x:c r="C69" s="10" t="n"/>
      <x:c r="D69" s="10" t="n"/>
      <x:c r="E69" s="10" t="n"/>
      <x:c r="F69" s="11" t="n"/>
      <x:c r="G69" s="12" t="n"/>
      <x:c r="H69" s="11" t="n"/>
      <x:c r="I69" s="13" t="n"/>
      <x:c r="J69" s="13" t="n"/>
      <x:c r="K69" s="10" t="n"/>
      <x:c r="L69" s="10" t="n"/>
      <x:c r="M69" s="10" t="n"/>
      <x:c r="N69" s="10" t="n"/>
    </x:row>
    <x:row r="70">
      <x:c r="A70" s="10" t="n"/>
      <x:c r="B70" s="10" t="n"/>
      <x:c r="C70" s="10" t="n"/>
      <x:c r="D70" s="10" t="n"/>
      <x:c r="E70" s="10" t="n"/>
      <x:c r="F70" s="11" t="n"/>
      <x:c r="G70" s="12" t="n"/>
      <x:c r="H70" s="11" t="n"/>
      <x:c r="I70" s="13" t="n"/>
      <x:c r="J70" s="13" t="n"/>
      <x:c r="K70" s="10" t="n"/>
      <x:c r="L70" s="10" t="n"/>
      <x:c r="M70" s="10" t="n"/>
      <x:c r="N70" s="10" t="n"/>
    </x:row>
    <x:row r="71">
      <x:c r="A71" s="10" t="n"/>
      <x:c r="B71" s="10" t="n"/>
      <x:c r="C71" s="10" t="n"/>
      <x:c r="D71" s="10" t="n"/>
      <x:c r="E71" s="10" t="n"/>
      <x:c r="F71" s="11" t="n"/>
      <x:c r="G71" s="12" t="n"/>
      <x:c r="H71" s="11" t="n"/>
      <x:c r="I71" s="13" t="n"/>
      <x:c r="J71" s="13" t="n"/>
      <x:c r="K71" s="10" t="n"/>
      <x:c r="L71" s="10" t="n"/>
      <x:c r="M71" s="10" t="n"/>
      <x:c r="N71" s="10" t="n"/>
    </x:row>
    <x:row r="72">
      <x:c r="A72" s="10" t="n"/>
      <x:c r="B72" s="10" t="n"/>
      <x:c r="C72" s="10" t="n"/>
      <x:c r="D72" s="10" t="n"/>
      <x:c r="E72" s="10" t="n"/>
      <x:c r="F72" s="11" t="n"/>
      <x:c r="G72" s="12" t="n"/>
      <x:c r="H72" s="11" t="n"/>
      <x:c r="I72" s="13" t="n"/>
      <x:c r="J72" s="13" t="n"/>
      <x:c r="K72" s="10" t="n"/>
      <x:c r="L72" s="10" t="n"/>
      <x:c r="M72" s="10" t="n"/>
      <x:c r="N72" s="10" t="n"/>
    </x:row>
    <x:row r="73">
      <x:c r="A73" s="10" t="n"/>
      <x:c r="B73" s="10" t="n"/>
      <x:c r="C73" s="10" t="n"/>
      <x:c r="D73" s="10" t="n"/>
      <x:c r="E73" s="10" t="n"/>
      <x:c r="F73" s="11" t="n"/>
      <x:c r="G73" s="12" t="n"/>
      <x:c r="H73" s="11" t="n"/>
      <x:c r="I73" s="13" t="n"/>
      <x:c r="J73" s="13" t="n"/>
      <x:c r="K73" s="10" t="n"/>
      <x:c r="L73" s="10" t="n"/>
      <x:c r="M73" s="10" t="n"/>
      <x:c r="N73" s="10" t="n"/>
    </x:row>
    <x:row r="74">
      <x:c r="A74" s="10" t="n"/>
      <x:c r="B74" s="10" t="n"/>
      <x:c r="C74" s="10" t="n"/>
      <x:c r="D74" s="10" t="n"/>
      <x:c r="E74" s="10" t="n"/>
      <x:c r="F74" s="11" t="n"/>
      <x:c r="G74" s="12" t="n"/>
      <x:c r="H74" s="11" t="n"/>
      <x:c r="I74" s="13" t="n"/>
      <x:c r="J74" s="13" t="n"/>
      <x:c r="K74" s="10" t="n"/>
      <x:c r="L74" s="10" t="n"/>
      <x:c r="M74" s="10" t="n"/>
      <x:c r="N74" s="10" t="n"/>
    </x:row>
    <x:row r="75">
      <x:c r="A75" s="10" t="n"/>
      <x:c r="B75" s="10" t="n"/>
      <x:c r="C75" s="10" t="n"/>
      <x:c r="D75" s="10" t="n"/>
      <x:c r="E75" s="10" t="n"/>
      <x:c r="F75" s="11" t="n"/>
      <x:c r="G75" s="12" t="n"/>
      <x:c r="H75" s="11" t="n"/>
      <x:c r="I75" s="13" t="n"/>
      <x:c r="J75" s="13" t="n"/>
      <x:c r="K75" s="10" t="n"/>
      <x:c r="L75" s="10" t="n"/>
      <x:c r="M75" s="10" t="n"/>
      <x:c r="N75" s="10" t="n"/>
    </x:row>
    <x:row r="76">
      <x:c r="A76" s="10" t="n"/>
      <x:c r="B76" s="10" t="n"/>
      <x:c r="C76" s="10" t="n"/>
      <x:c r="D76" s="10" t="n"/>
      <x:c r="E76" s="10" t="n"/>
      <x:c r="F76" s="11" t="n"/>
      <x:c r="G76" s="12" t="n"/>
      <x:c r="H76" s="11" t="n"/>
      <x:c r="I76" s="13" t="n"/>
      <x:c r="J76" s="13" t="n"/>
      <x:c r="K76" s="10" t="n"/>
      <x:c r="L76" s="10" t="n"/>
      <x:c r="M76" s="10" t="n"/>
      <x:c r="N76" s="10" t="n"/>
    </x:row>
    <x:row r="77">
      <x:c r="A77" s="10" t="n"/>
      <x:c r="B77" s="10" t="n"/>
      <x:c r="C77" s="10" t="n"/>
      <x:c r="D77" s="10" t="n"/>
      <x:c r="E77" s="10" t="n"/>
      <x:c r="F77" s="11" t="n"/>
      <x:c r="G77" s="12" t="n"/>
      <x:c r="H77" s="11" t="n"/>
      <x:c r="I77" s="13" t="n"/>
      <x:c r="J77" s="13" t="n"/>
      <x:c r="K77" s="10" t="n"/>
      <x:c r="L77" s="10" t="n"/>
      <x:c r="M77" s="10" t="n"/>
      <x:c r="N77" s="10" t="n"/>
    </x:row>
    <x:row r="78">
      <x:c r="A78" s="10" t="n"/>
      <x:c r="B78" s="10" t="n"/>
      <x:c r="C78" s="10" t="n"/>
      <x:c r="D78" s="10" t="n"/>
      <x:c r="E78" s="10" t="n"/>
      <x:c r="F78" s="11" t="n"/>
      <x:c r="G78" s="12" t="n"/>
      <x:c r="H78" s="11" t="n"/>
      <x:c r="I78" s="13" t="n"/>
      <x:c r="J78" s="13" t="n"/>
      <x:c r="K78" s="10" t="n"/>
      <x:c r="L78" s="10" t="n"/>
      <x:c r="M78" s="10" t="n"/>
      <x:c r="N78" s="10" t="n"/>
    </x:row>
    <x:row r="79">
      <x:c r="A79" s="10" t="n"/>
      <x:c r="B79" s="10" t="n"/>
      <x:c r="C79" s="10" t="n"/>
      <x:c r="D79" s="10" t="n"/>
      <x:c r="E79" s="10" t="n"/>
      <x:c r="F79" s="11" t="n"/>
      <x:c r="G79" s="12" t="n"/>
      <x:c r="H79" s="11" t="n"/>
      <x:c r="I79" s="13" t="n"/>
      <x:c r="J79" s="13" t="n"/>
      <x:c r="K79" s="10" t="n"/>
      <x:c r="L79" s="10" t="n"/>
      <x:c r="M79" s="10" t="n"/>
      <x:c r="N79" s="10" t="n"/>
    </x:row>
    <x:row r="80">
      <x:c r="A80" s="10" t="n"/>
      <x:c r="B80" s="10" t="n"/>
      <x:c r="C80" s="10" t="n"/>
      <x:c r="D80" s="10" t="n"/>
      <x:c r="E80" s="10" t="n"/>
      <x:c r="F80" s="11" t="n"/>
      <x:c r="G80" s="12" t="n"/>
      <x:c r="H80" s="11" t="n"/>
      <x:c r="I80" s="13" t="n"/>
      <x:c r="J80" s="13" t="n"/>
      <x:c r="K80" s="10" t="n"/>
      <x:c r="L80" s="10" t="n"/>
      <x:c r="M80" s="10" t="n"/>
      <x:c r="N80" s="10" t="n"/>
    </x:row>
    <x:row r="81">
      <x:c r="A81" s="10" t="n"/>
      <x:c r="B81" s="10" t="n"/>
      <x:c r="C81" s="10" t="n"/>
      <x:c r="D81" s="10" t="n"/>
      <x:c r="E81" s="10" t="n"/>
      <x:c r="F81" s="11" t="n"/>
      <x:c r="G81" s="12" t="n"/>
      <x:c r="H81" s="11" t="n"/>
      <x:c r="I81" s="13" t="n"/>
      <x:c r="J81" s="13" t="n"/>
      <x:c r="K81" s="10" t="n"/>
      <x:c r="L81" s="10" t="n"/>
      <x:c r="M81" s="10" t="n"/>
      <x:c r="N81" s="10" t="n"/>
    </x:row>
    <x:row r="82">
      <x:c r="A82" s="10" t="n"/>
      <x:c r="B82" s="10" t="n"/>
      <x:c r="C82" s="10" t="n"/>
      <x:c r="D82" s="10" t="n"/>
      <x:c r="E82" s="10" t="n"/>
      <x:c r="F82" s="11" t="n"/>
      <x:c r="G82" s="12" t="n"/>
      <x:c r="H82" s="11" t="n"/>
      <x:c r="I82" s="13" t="n"/>
      <x:c r="J82" s="13" t="n"/>
      <x:c r="K82" s="10" t="n"/>
      <x:c r="L82" s="10" t="n"/>
      <x:c r="M82" s="10" t="n"/>
      <x:c r="N82" s="10" t="n"/>
    </x:row>
    <x:row r="83">
      <x:c r="A83" s="10" t="n"/>
      <x:c r="B83" s="10" t="n"/>
      <x:c r="C83" s="10" t="n"/>
      <x:c r="D83" s="10" t="n"/>
      <x:c r="E83" s="10" t="n"/>
      <x:c r="F83" s="11" t="n"/>
      <x:c r="G83" s="12" t="n"/>
      <x:c r="H83" s="11" t="n"/>
      <x:c r="I83" s="13" t="n"/>
      <x:c r="J83" s="13" t="n"/>
      <x:c r="K83" s="10" t="n"/>
      <x:c r="L83" s="10" t="n"/>
      <x:c r="M83" s="10" t="n"/>
      <x:c r="N83" s="10" t="n"/>
    </x:row>
    <x:row r="84">
      <x:c r="A84" s="10" t="n"/>
      <x:c r="B84" s="10" t="n"/>
      <x:c r="C84" s="10" t="n"/>
      <x:c r="D84" s="10" t="n"/>
      <x:c r="E84" s="10" t="n"/>
      <x:c r="F84" s="11" t="n"/>
      <x:c r="G84" s="12" t="n"/>
      <x:c r="H84" s="11" t="n"/>
      <x:c r="I84" s="13" t="n"/>
      <x:c r="J84" s="13" t="n"/>
      <x:c r="K84" s="10" t="n"/>
      <x:c r="L84" s="10" t="n"/>
      <x:c r="M84" s="10" t="n"/>
      <x:c r="N84" s="10" t="n"/>
    </x:row>
    <x:row r="85">
      <x:c r="A85" s="10" t="n"/>
      <x:c r="B85" s="10" t="n"/>
      <x:c r="C85" s="10" t="n"/>
      <x:c r="D85" s="10" t="n"/>
      <x:c r="E85" s="10" t="n"/>
      <x:c r="F85" s="11" t="n"/>
      <x:c r="G85" s="12" t="n"/>
      <x:c r="H85" s="11" t="n"/>
      <x:c r="I85" s="13" t="n"/>
      <x:c r="J85" s="13" t="n"/>
      <x:c r="K85" s="10" t="n"/>
      <x:c r="L85" s="10" t="n"/>
      <x:c r="M85" s="10" t="n"/>
      <x:c r="N85" s="10" t="n"/>
    </x:row>
    <x:row r="86">
      <x:c r="A86" s="10" t="n"/>
      <x:c r="B86" s="10" t="n"/>
      <x:c r="C86" s="10" t="n"/>
      <x:c r="D86" s="10" t="n"/>
      <x:c r="E86" s="10" t="n"/>
      <x:c r="F86" s="11" t="n"/>
      <x:c r="G86" s="12" t="n"/>
      <x:c r="H86" s="11" t="n"/>
      <x:c r="I86" s="13" t="n"/>
      <x:c r="J86" s="13" t="n"/>
      <x:c r="K86" s="10" t="n"/>
      <x:c r="L86" s="10" t="n"/>
      <x:c r="M86" s="10" t="n"/>
      <x:c r="N86" s="10" t="n"/>
    </x:row>
    <x:row r="87">
      <x:c r="A87" s="10" t="n"/>
      <x:c r="B87" s="10" t="n"/>
      <x:c r="C87" s="10" t="n"/>
      <x:c r="D87" s="10" t="n"/>
      <x:c r="E87" s="10" t="n"/>
      <x:c r="F87" s="11" t="n"/>
      <x:c r="G87" s="12" t="n"/>
      <x:c r="H87" s="11" t="n"/>
      <x:c r="I87" s="13" t="n"/>
      <x:c r="J87" s="13" t="n"/>
      <x:c r="K87" s="10" t="n"/>
      <x:c r="L87" s="10" t="n"/>
      <x:c r="M87" s="10" t="n"/>
      <x:c r="N87" s="10" t="n"/>
    </x:row>
    <x:row r="88">
      <x:c r="A88" s="10" t="n"/>
      <x:c r="B88" s="10" t="n"/>
      <x:c r="C88" s="10" t="n"/>
      <x:c r="D88" s="10" t="n"/>
      <x:c r="E88" s="10" t="n"/>
      <x:c r="F88" s="11" t="n"/>
      <x:c r="G88" s="12" t="n"/>
      <x:c r="H88" s="11" t="n"/>
      <x:c r="I88" s="13" t="n"/>
      <x:c r="J88" s="13" t="n"/>
      <x:c r="K88" s="10" t="n"/>
      <x:c r="L88" s="10" t="n"/>
      <x:c r="M88" s="10" t="n"/>
      <x:c r="N88" s="10" t="n"/>
    </x:row>
    <x:row r="89">
      <x:c r="A89" s="10" t="n"/>
      <x:c r="B89" s="10" t="n"/>
      <x:c r="C89" s="10" t="n"/>
      <x:c r="D89" s="10" t="n"/>
      <x:c r="E89" s="10" t="n"/>
      <x:c r="F89" s="11" t="n"/>
      <x:c r="G89" s="12" t="n"/>
      <x:c r="H89" s="11" t="n"/>
      <x:c r="I89" s="13" t="n"/>
      <x:c r="J89" s="13" t="n"/>
      <x:c r="K89" s="10" t="n"/>
      <x:c r="L89" s="10" t="n"/>
      <x:c r="M89" s="10" t="n"/>
      <x:c r="N89" s="10" t="n"/>
    </x:row>
    <x:row r="90">
      <x:c r="A90" s="10" t="n"/>
      <x:c r="B90" s="10" t="n"/>
      <x:c r="C90" s="10" t="n"/>
      <x:c r="D90" s="10" t="n"/>
      <x:c r="E90" s="10" t="n"/>
      <x:c r="F90" s="11" t="n"/>
      <x:c r="G90" s="12" t="n"/>
      <x:c r="H90" s="11" t="n"/>
      <x:c r="I90" s="13" t="n"/>
      <x:c r="J90" s="13" t="n"/>
      <x:c r="K90" s="10" t="n"/>
      <x:c r="L90" s="10" t="n"/>
      <x:c r="M90" s="10" t="n"/>
      <x:c r="N90" s="10" t="n"/>
    </x:row>
    <x:row r="91">
      <x:c r="A91" s="10" t="n"/>
      <x:c r="B91" s="10" t="n"/>
      <x:c r="C91" s="10" t="n"/>
      <x:c r="D91" s="10" t="n"/>
      <x:c r="E91" s="10" t="n"/>
      <x:c r="F91" s="11" t="n"/>
      <x:c r="G91" s="12" t="n"/>
      <x:c r="H91" s="11" t="n"/>
      <x:c r="I91" s="13" t="n"/>
      <x:c r="J91" s="13" t="n"/>
      <x:c r="K91" s="10" t="n"/>
      <x:c r="L91" s="10" t="n"/>
      <x:c r="M91" s="10" t="n"/>
      <x:c r="N91" s="10" t="n"/>
    </x:row>
    <x:row r="92">
      <x:c r="A92" s="10" t="n"/>
      <x:c r="B92" s="10" t="n"/>
      <x:c r="C92" s="10" t="n"/>
      <x:c r="D92" s="10" t="n"/>
      <x:c r="E92" s="10" t="n"/>
      <x:c r="F92" s="11" t="n"/>
      <x:c r="G92" s="12" t="n"/>
      <x:c r="H92" s="11" t="n"/>
      <x:c r="I92" s="13" t="n"/>
      <x:c r="J92" s="13" t="n"/>
      <x:c r="K92" s="10" t="n"/>
      <x:c r="L92" s="10" t="n"/>
      <x:c r="M92" s="10" t="n"/>
      <x:c r="N92" s="10" t="n"/>
    </x:row>
    <x:row r="93">
      <x:c r="A93" s="10" t="n"/>
      <x:c r="B93" s="10" t="n"/>
      <x:c r="C93" s="10" t="n"/>
      <x:c r="D93" s="10" t="n"/>
      <x:c r="E93" s="10" t="n"/>
      <x:c r="F93" s="11" t="n"/>
      <x:c r="G93" s="12" t="n"/>
      <x:c r="H93" s="11" t="n"/>
      <x:c r="I93" s="13" t="n"/>
      <x:c r="J93" s="13" t="n"/>
      <x:c r="K93" s="10" t="n"/>
      <x:c r="L93" s="10" t="n"/>
      <x:c r="M93" s="10" t="n"/>
      <x:c r="N93" s="10" t="n"/>
    </x:row>
    <x:row r="94">
      <x:c r="A94" s="10" t="n"/>
      <x:c r="B94" s="10" t="n"/>
      <x:c r="C94" s="10" t="n"/>
      <x:c r="D94" s="10" t="n"/>
      <x:c r="E94" s="10" t="n"/>
      <x:c r="F94" s="11" t="n"/>
      <x:c r="G94" s="12" t="n"/>
      <x:c r="H94" s="11" t="n"/>
      <x:c r="I94" s="13" t="n"/>
      <x:c r="J94" s="13" t="n"/>
      <x:c r="K94" s="10" t="n"/>
      <x:c r="L94" s="10" t="n"/>
      <x:c r="M94" s="10" t="n"/>
      <x:c r="N94" s="10" t="n"/>
    </x:row>
    <x:row r="95">
      <x:c r="A95" s="10" t="n"/>
      <x:c r="B95" s="10" t="n"/>
      <x:c r="C95" s="10" t="n"/>
      <x:c r="D95" s="10" t="n"/>
      <x:c r="E95" s="10" t="n"/>
      <x:c r="F95" s="11" t="n"/>
      <x:c r="G95" s="12" t="n"/>
      <x:c r="H95" s="11" t="n"/>
      <x:c r="I95" s="13" t="n"/>
      <x:c r="J95" s="13" t="n"/>
      <x:c r="K95" s="10" t="n"/>
      <x:c r="L95" s="10" t="n"/>
      <x:c r="M95" s="10" t="n"/>
      <x:c r="N95" s="10" t="n"/>
    </x:row>
    <x:row r="96">
      <x:c r="A96" s="10" t="n"/>
      <x:c r="B96" s="10" t="n"/>
      <x:c r="C96" s="10" t="n"/>
      <x:c r="D96" s="10" t="n"/>
      <x:c r="E96" s="10" t="n"/>
      <x:c r="F96" s="11" t="n"/>
      <x:c r="G96" s="12" t="n"/>
      <x:c r="H96" s="11" t="n"/>
      <x:c r="I96" s="13" t="n"/>
      <x:c r="J96" s="13" t="n"/>
      <x:c r="K96" s="10" t="n"/>
      <x:c r="L96" s="10" t="n"/>
      <x:c r="M96" s="10" t="n"/>
      <x:c r="N96" s="10" t="n"/>
    </x:row>
    <x:row r="97">
      <x:c r="A97" s="10" t="n"/>
      <x:c r="B97" s="10" t="n"/>
      <x:c r="C97" s="10" t="n"/>
      <x:c r="D97" s="10" t="n"/>
      <x:c r="E97" s="10" t="n"/>
      <x:c r="F97" s="11" t="n"/>
      <x:c r="G97" s="12" t="n"/>
      <x:c r="H97" s="11" t="n"/>
      <x:c r="I97" s="13" t="n"/>
      <x:c r="J97" s="13" t="n"/>
      <x:c r="K97" s="10" t="n"/>
      <x:c r="L97" s="10" t="n"/>
      <x:c r="M97" s="10" t="n"/>
      <x:c r="N97" s="10" t="n"/>
    </x:row>
    <x:row r="98">
      <x:c r="A98" s="10" t="n"/>
      <x:c r="B98" s="10" t="n"/>
      <x:c r="C98" s="10" t="n"/>
      <x:c r="D98" s="10" t="n"/>
      <x:c r="E98" s="10" t="n"/>
      <x:c r="F98" s="11" t="n"/>
      <x:c r="G98" s="12" t="n"/>
      <x:c r="H98" s="11" t="n"/>
      <x:c r="I98" s="13" t="n"/>
      <x:c r="J98" s="13" t="n"/>
      <x:c r="K98" s="10" t="n"/>
      <x:c r="L98" s="10" t="n"/>
      <x:c r="M98" s="10" t="n"/>
      <x:c r="N98" s="10" t="n"/>
    </x:row>
    <x:row r="99">
      <x:c r="A99" s="10" t="n"/>
      <x:c r="B99" s="10" t="n"/>
      <x:c r="C99" s="10" t="n"/>
      <x:c r="D99" s="10" t="n"/>
      <x:c r="E99" s="10" t="n"/>
      <x:c r="F99" s="11" t="n"/>
      <x:c r="G99" s="12" t="n"/>
      <x:c r="H99" s="11" t="n"/>
      <x:c r="I99" s="13" t="n"/>
      <x:c r="J99" s="13" t="n"/>
      <x:c r="K99" s="10" t="n"/>
      <x:c r="L99" s="10" t="n"/>
      <x:c r="M99" s="10" t="n"/>
      <x:c r="N99" s="10" t="n"/>
    </x:row>
    <x:row r="100">
      <x:c r="A100" s="10" t="n"/>
      <x:c r="B100" s="10" t="n"/>
      <x:c r="C100" s="10" t="n"/>
      <x:c r="D100" s="10" t="n"/>
      <x:c r="E100" s="10" t="n"/>
      <x:c r="F100" s="11" t="n"/>
      <x:c r="G100" s="12" t="n"/>
      <x:c r="H100" s="11" t="n"/>
      <x:c r="I100" s="13" t="n"/>
      <x:c r="J100" s="13" t="n"/>
      <x:c r="K100" s="10" t="n"/>
      <x:c r="L100" s="10" t="n"/>
      <x:c r="M100" s="10" t="n"/>
      <x:c r="N100" s="10" t="n"/>
    </x:row>
    <x:row r="101">
      <x:c r="A101" s="10" t="n"/>
      <x:c r="B101" s="10" t="n"/>
      <x:c r="C101" s="10" t="n"/>
      <x:c r="D101" s="10" t="n"/>
      <x:c r="E101" s="10" t="n"/>
      <x:c r="F101" s="11" t="n"/>
      <x:c r="G101" s="12" t="n"/>
      <x:c r="H101" s="11" t="n"/>
      <x:c r="I101" s="13" t="n"/>
      <x:c r="J101" s="13" t="n"/>
      <x:c r="K101" s="10" t="n"/>
      <x:c r="L101" s="10" t="n"/>
      <x:c r="M101" s="10" t="n"/>
      <x:c r="N101" s="10" t="n"/>
    </x:row>
    <x:row r="102">
      <x:c r="A102" s="10" t="n"/>
      <x:c r="B102" s="10" t="n"/>
      <x:c r="C102" s="10" t="n"/>
      <x:c r="D102" s="10" t="n"/>
      <x:c r="E102" s="10" t="n"/>
      <x:c r="F102" s="11" t="n"/>
      <x:c r="G102" s="12" t="n"/>
      <x:c r="H102" s="11" t="n"/>
      <x:c r="I102" s="13" t="n"/>
      <x:c r="J102" s="13" t="n"/>
      <x:c r="K102" s="10" t="n"/>
      <x:c r="L102" s="10" t="n"/>
      <x:c r="M102" s="10" t="n"/>
      <x:c r="N102" s="10" t="n"/>
    </x:row>
    <x:row r="103">
      <x:c r="A103" s="10" t="n"/>
      <x:c r="B103" s="10" t="n"/>
      <x:c r="C103" s="10" t="n"/>
      <x:c r="D103" s="10" t="n"/>
      <x:c r="E103" s="10" t="n"/>
      <x:c r="F103" s="11" t="n"/>
      <x:c r="G103" s="12" t="n"/>
      <x:c r="H103" s="11" t="n"/>
      <x:c r="I103" s="13" t="n"/>
      <x:c r="J103" s="13" t="n"/>
      <x:c r="K103" s="10" t="n"/>
      <x:c r="L103" s="10" t="n"/>
      <x:c r="M103" s="10" t="n"/>
      <x:c r="N103" s="10" t="n"/>
    </x:row>
    <x:row r="104">
      <x:c r="A104" s="10" t="n"/>
      <x:c r="B104" s="10" t="n"/>
      <x:c r="C104" s="10" t="n"/>
      <x:c r="D104" s="10" t="n"/>
      <x:c r="E104" s="10" t="n"/>
      <x:c r="F104" s="11" t="n"/>
      <x:c r="G104" s="12" t="n"/>
      <x:c r="H104" s="11" t="n"/>
      <x:c r="I104" s="13" t="n"/>
      <x:c r="J104" s="13" t="n"/>
      <x:c r="K104" s="10" t="n"/>
      <x:c r="L104" s="10" t="n"/>
      <x:c r="M104" s="10" t="n"/>
      <x:c r="N104" s="10" t="n"/>
    </x:row>
    <x:row r="105">
      <x:c r="A105" s="10" t="n"/>
      <x:c r="B105" s="10" t="n"/>
      <x:c r="C105" s="10" t="n"/>
      <x:c r="D105" s="10" t="n"/>
      <x:c r="E105" s="10" t="n"/>
      <x:c r="F105" s="11" t="n"/>
      <x:c r="G105" s="12" t="n"/>
      <x:c r="H105" s="11" t="n"/>
      <x:c r="I105" s="13" t="n"/>
      <x:c r="J105" s="13" t="n"/>
      <x:c r="K105" s="10" t="n"/>
      <x:c r="L105" s="10" t="n"/>
      <x:c r="M105" s="10" t="n"/>
      <x:c r="N105" s="10" t="n"/>
    </x:row>
    <x:row r="106">
      <x:c r="A106" s="10" t="n"/>
      <x:c r="B106" s="10" t="n"/>
      <x:c r="C106" s="10" t="n"/>
      <x:c r="D106" s="10" t="n"/>
      <x:c r="E106" s="10" t="n"/>
      <x:c r="F106" s="11" t="n"/>
      <x:c r="G106" s="12" t="n"/>
      <x:c r="H106" s="11" t="n"/>
      <x:c r="I106" s="13" t="n"/>
      <x:c r="J106" s="13" t="n"/>
      <x:c r="K106" s="10" t="n"/>
      <x:c r="L106" s="10" t="n"/>
      <x:c r="M106" s="10" t="n"/>
      <x:c r="N106" s="10" t="n"/>
    </x:row>
    <x:row r="107">
      <x:c r="A107" s="10" t="n"/>
      <x:c r="B107" s="10" t="n"/>
      <x:c r="C107" s="10" t="n"/>
      <x:c r="D107" s="10" t="n"/>
      <x:c r="E107" s="10" t="n"/>
      <x:c r="F107" s="11" t="n"/>
      <x:c r="G107" s="12" t="n"/>
      <x:c r="H107" s="11" t="n"/>
      <x:c r="I107" s="13" t="n"/>
      <x:c r="J107" s="13" t="n"/>
      <x:c r="K107" s="10" t="n"/>
      <x:c r="L107" s="10" t="n"/>
      <x:c r="M107" s="10" t="n"/>
      <x:c r="N107" s="10" t="n"/>
    </x:row>
    <x:row r="108">
      <x:c r="A108" s="10" t="n"/>
      <x:c r="B108" s="10" t="n"/>
      <x:c r="C108" s="10" t="n"/>
      <x:c r="D108" s="10" t="n"/>
      <x:c r="E108" s="10" t="n"/>
      <x:c r="F108" s="11" t="n"/>
      <x:c r="G108" s="12" t="n"/>
      <x:c r="H108" s="11" t="n"/>
      <x:c r="I108" s="13" t="n"/>
      <x:c r="J108" s="13" t="n"/>
      <x:c r="K108" s="10" t="n"/>
      <x:c r="L108" s="10" t="n"/>
      <x:c r="M108" s="10" t="n"/>
      <x:c r="N108" s="10" t="n"/>
    </x:row>
    <x:row r="109">
      <x:c r="A109" s="10" t="n"/>
      <x:c r="B109" s="10" t="n"/>
      <x:c r="C109" s="10" t="n"/>
      <x:c r="D109" s="10" t="n"/>
      <x:c r="E109" s="10" t="n"/>
      <x:c r="F109" s="11" t="n"/>
      <x:c r="G109" s="12" t="n"/>
      <x:c r="H109" s="11" t="n"/>
      <x:c r="I109" s="13" t="n"/>
      <x:c r="J109" s="13" t="n"/>
      <x:c r="K109" s="10" t="n"/>
      <x:c r="L109" s="10" t="n"/>
      <x:c r="M109" s="10" t="n"/>
      <x:c r="N109" s="10" t="n"/>
    </x:row>
    <x:row r="110">
      <x:c r="A110" s="10" t="n"/>
      <x:c r="B110" s="10" t="n"/>
      <x:c r="C110" s="10" t="n"/>
      <x:c r="D110" s="10" t="n"/>
      <x:c r="E110" s="10" t="n"/>
      <x:c r="F110" s="11" t="n"/>
      <x:c r="G110" s="12" t="n"/>
      <x:c r="H110" s="11" t="n"/>
      <x:c r="I110" s="13" t="n"/>
      <x:c r="J110" s="13" t="n"/>
      <x:c r="K110" s="10" t="n"/>
      <x:c r="L110" s="10" t="n"/>
      <x:c r="M110" s="10" t="n"/>
      <x:c r="N110" s="10" t="n"/>
    </x:row>
    <x:row r="111">
      <x:c r="A111" s="10" t="n"/>
      <x:c r="B111" s="10" t="n"/>
      <x:c r="C111" s="10" t="n"/>
      <x:c r="D111" s="10" t="n"/>
      <x:c r="E111" s="10" t="n"/>
      <x:c r="F111" s="11" t="n"/>
      <x:c r="G111" s="12" t="n"/>
      <x:c r="H111" s="11" t="n"/>
      <x:c r="I111" s="13" t="n"/>
      <x:c r="J111" s="13" t="n"/>
      <x:c r="K111" s="10" t="n"/>
      <x:c r="L111" s="10" t="n"/>
      <x:c r="M111" s="10" t="n"/>
      <x:c r="N111" s="10" t="n"/>
    </x:row>
    <x:row r="112">
      <x:c r="A112" s="10" t="n"/>
      <x:c r="B112" s="10" t="n"/>
      <x:c r="C112" s="10" t="n"/>
      <x:c r="D112" s="10" t="n"/>
      <x:c r="E112" s="10" t="n"/>
      <x:c r="F112" s="11" t="n"/>
      <x:c r="G112" s="12" t="n"/>
      <x:c r="H112" s="11" t="n"/>
      <x:c r="I112" s="13" t="n"/>
      <x:c r="J112" s="13" t="n"/>
      <x:c r="K112" s="10" t="n"/>
      <x:c r="L112" s="10" t="n"/>
      <x:c r="M112" s="10" t="n"/>
      <x:c r="N112" s="10" t="n"/>
    </x:row>
    <x:row r="113">
      <x:c r="A113" s="10" t="n"/>
      <x:c r="B113" s="10" t="n"/>
      <x:c r="C113" s="10" t="n"/>
      <x:c r="D113" s="10" t="n"/>
      <x:c r="E113" s="10" t="n"/>
      <x:c r="F113" s="11" t="n"/>
      <x:c r="G113" s="12" t="n"/>
      <x:c r="H113" s="11" t="n"/>
      <x:c r="I113" s="13" t="n"/>
      <x:c r="J113" s="13" t="n"/>
      <x:c r="K113" s="10" t="n"/>
      <x:c r="L113" s="10" t="n"/>
      <x:c r="M113" s="10" t="n"/>
      <x:c r="N113" s="10" t="n"/>
    </x:row>
    <x:row r="114">
      <x:c r="A114" s="10" t="n"/>
      <x:c r="B114" s="10" t="n"/>
      <x:c r="C114" s="10" t="n"/>
      <x:c r="D114" s="10" t="n"/>
      <x:c r="E114" s="10" t="n"/>
      <x:c r="F114" s="11" t="n"/>
      <x:c r="G114" s="12" t="n"/>
      <x:c r="H114" s="11" t="n"/>
      <x:c r="I114" s="13" t="n"/>
      <x:c r="J114" s="13" t="n"/>
      <x:c r="K114" s="10" t="n"/>
      <x:c r="L114" s="10" t="n"/>
      <x:c r="M114" s="10" t="n"/>
      <x:c r="N114" s="10" t="n"/>
    </x:row>
    <x:row r="115">
      <x:c r="A115" s="10" t="n"/>
      <x:c r="B115" s="10" t="n"/>
      <x:c r="C115" s="10" t="n"/>
      <x:c r="D115" s="10" t="n"/>
      <x:c r="E115" s="10" t="n"/>
      <x:c r="F115" s="11" t="n"/>
      <x:c r="G115" s="12" t="n"/>
      <x:c r="H115" s="11" t="n"/>
      <x:c r="I115" s="13" t="n"/>
      <x:c r="J115" s="13" t="n"/>
      <x:c r="K115" s="10" t="n"/>
      <x:c r="L115" s="10" t="n"/>
      <x:c r="M115" s="10" t="n"/>
      <x:c r="N115" s="10" t="n"/>
    </x:row>
    <x:row r="116">
      <x:c r="A116" s="10" t="n"/>
      <x:c r="B116" s="10" t="n"/>
      <x:c r="C116" s="10" t="n"/>
      <x:c r="D116" s="10" t="n"/>
      <x:c r="E116" s="10" t="n"/>
      <x:c r="F116" s="11" t="n"/>
      <x:c r="G116" s="12" t="n"/>
      <x:c r="H116" s="11" t="n"/>
      <x:c r="I116" s="13" t="n"/>
      <x:c r="J116" s="13" t="n"/>
      <x:c r="K116" s="10" t="n"/>
      <x:c r="L116" s="10" t="n"/>
      <x:c r="M116" s="10" t="n"/>
      <x:c r="N116" s="10" t="n"/>
    </x:row>
    <x:row r="117">
      <x:c r="A117" s="10" t="n"/>
      <x:c r="B117" s="10" t="n"/>
      <x:c r="C117" s="10" t="n"/>
      <x:c r="D117" s="10" t="n"/>
      <x:c r="E117" s="10" t="n"/>
      <x:c r="F117" s="11" t="n"/>
      <x:c r="G117" s="12" t="n"/>
      <x:c r="H117" s="11" t="n"/>
      <x:c r="I117" s="13" t="n"/>
      <x:c r="J117" s="13" t="n"/>
      <x:c r="K117" s="10" t="n"/>
      <x:c r="L117" s="10" t="n"/>
      <x:c r="M117" s="10" t="n"/>
      <x:c r="N117" s="10" t="n"/>
    </x:row>
    <x:row r="118">
      <x:c r="A118" s="10" t="n"/>
      <x:c r="B118" s="10" t="n"/>
      <x:c r="C118" s="10" t="n"/>
      <x:c r="D118" s="10" t="n"/>
      <x:c r="E118" s="10" t="n"/>
      <x:c r="F118" s="11" t="n"/>
      <x:c r="G118" s="12" t="n"/>
      <x:c r="H118" s="11" t="n"/>
      <x:c r="I118" s="13" t="n"/>
      <x:c r="J118" s="13" t="n"/>
      <x:c r="K118" s="10" t="n"/>
      <x:c r="L118" s="10" t="n"/>
      <x:c r="M118" s="10" t="n"/>
      <x:c r="N118" s="10" t="n"/>
    </x:row>
    <x:row r="119">
      <x:c r="A119" s="10" t="n"/>
      <x:c r="B119" s="10" t="n"/>
      <x:c r="C119" s="10" t="n"/>
      <x:c r="D119" s="10" t="n"/>
      <x:c r="E119" s="10" t="n"/>
      <x:c r="F119" s="11" t="n"/>
      <x:c r="G119" s="12" t="n"/>
      <x:c r="H119" s="11" t="n"/>
      <x:c r="I119" s="13" t="n"/>
      <x:c r="J119" s="13" t="n"/>
      <x:c r="K119" s="10" t="n"/>
      <x:c r="L119" s="10" t="n"/>
      <x:c r="M119" s="10" t="n"/>
      <x:c r="N119" s="10" t="n"/>
    </x:row>
    <x:row r="120">
      <x:c r="A120" s="10" t="n"/>
      <x:c r="B120" s="10" t="n"/>
      <x:c r="C120" s="10" t="n"/>
      <x:c r="D120" s="10" t="n"/>
      <x:c r="E120" s="10" t="n"/>
      <x:c r="F120" s="11" t="n"/>
      <x:c r="G120" s="12" t="n"/>
      <x:c r="H120" s="11" t="n"/>
      <x:c r="I120" s="13" t="n"/>
      <x:c r="J120" s="13" t="n"/>
      <x:c r="K120" s="10" t="n"/>
      <x:c r="L120" s="10" t="n"/>
      <x:c r="M120" s="10" t="n"/>
      <x:c r="N120" s="10" t="n"/>
    </x:row>
    <x:row r="121">
      <x:c r="A121" s="10" t="n"/>
      <x:c r="B121" s="10" t="n"/>
      <x:c r="C121" s="10" t="n"/>
      <x:c r="D121" s="10" t="n"/>
      <x:c r="E121" s="10" t="n"/>
      <x:c r="F121" s="11" t="n"/>
      <x:c r="G121" s="12" t="n"/>
      <x:c r="H121" s="11" t="n"/>
      <x:c r="I121" s="13" t="n"/>
      <x:c r="J121" s="13" t="n"/>
      <x:c r="K121" s="10" t="n"/>
      <x:c r="L121" s="10" t="n"/>
      <x:c r="M121" s="10" t="n"/>
      <x:c r="N121" s="10" t="n"/>
    </x:row>
    <x:row r="122">
      <x:c r="A122" s="10" t="n"/>
      <x:c r="B122" s="10" t="n"/>
      <x:c r="C122" s="10" t="n"/>
      <x:c r="D122" s="10" t="n"/>
      <x:c r="E122" s="10" t="n"/>
      <x:c r="F122" s="11" t="n"/>
      <x:c r="G122" s="12" t="n"/>
      <x:c r="H122" s="11" t="n"/>
      <x:c r="I122" s="13" t="n"/>
      <x:c r="J122" s="13" t="n"/>
      <x:c r="K122" s="10" t="n"/>
      <x:c r="L122" s="10" t="n"/>
      <x:c r="M122" s="10" t="n"/>
      <x:c r="N122" s="10" t="n"/>
    </x:row>
    <x:row r="123">
      <x:c r="A123" s="10" t="n"/>
      <x:c r="B123" s="10" t="n"/>
      <x:c r="C123" s="10" t="n"/>
      <x:c r="D123" s="10" t="n"/>
      <x:c r="E123" s="10" t="n"/>
      <x:c r="F123" s="11" t="n"/>
      <x:c r="G123" s="12" t="n"/>
      <x:c r="H123" s="11" t="n"/>
      <x:c r="I123" s="13" t="n"/>
      <x:c r="J123" s="13" t="n"/>
      <x:c r="K123" s="10" t="n"/>
      <x:c r="L123" s="10" t="n"/>
      <x:c r="M123" s="10" t="n"/>
      <x:c r="N123" s="10" t="n"/>
    </x:row>
    <x:row r="124">
      <x:c r="A124" s="10" t="n"/>
      <x:c r="B124" s="10" t="n"/>
      <x:c r="C124" s="10" t="n"/>
      <x:c r="D124" s="10" t="n"/>
      <x:c r="E124" s="10" t="n"/>
      <x:c r="F124" s="11" t="n"/>
      <x:c r="G124" s="12" t="n"/>
      <x:c r="H124" s="11" t="n"/>
      <x:c r="I124" s="13" t="n"/>
      <x:c r="J124" s="13" t="n"/>
      <x:c r="K124" s="10" t="n"/>
      <x:c r="L124" s="10" t="n"/>
      <x:c r="M124" s="10" t="n"/>
      <x:c r="N124" s="10" t="n"/>
    </x:row>
    <x:row r="125">
      <x:c r="A125" s="10" t="n"/>
      <x:c r="B125" s="10" t="n"/>
      <x:c r="C125" s="10" t="n"/>
      <x:c r="D125" s="10" t="n"/>
      <x:c r="E125" s="10" t="n"/>
      <x:c r="F125" s="11" t="n"/>
      <x:c r="G125" s="12" t="n"/>
      <x:c r="H125" s="11" t="n"/>
      <x:c r="I125" s="13" t="n"/>
      <x:c r="J125" s="13" t="n"/>
      <x:c r="K125" s="10" t="n"/>
      <x:c r="L125" s="10" t="n"/>
      <x:c r="M125" s="10" t="n"/>
      <x:c r="N125" s="10" t="n"/>
    </x:row>
    <x:row r="126">
      <x:c r="A126" s="10" t="n"/>
      <x:c r="B126" s="10" t="n"/>
      <x:c r="C126" s="10" t="n"/>
      <x:c r="D126" s="10" t="n"/>
      <x:c r="E126" s="10" t="n"/>
      <x:c r="F126" s="11" t="n"/>
      <x:c r="G126" s="12" t="n"/>
      <x:c r="H126" s="11" t="n"/>
      <x:c r="I126" s="13" t="n"/>
      <x:c r="J126" s="13" t="n"/>
      <x:c r="K126" s="10" t="n"/>
      <x:c r="L126" s="10" t="n"/>
      <x:c r="M126" s="10" t="n"/>
      <x:c r="N126" s="10" t="n"/>
    </x:row>
    <x:row r="127">
      <x:c r="A127" s="10" t="n"/>
      <x:c r="B127" s="10" t="n"/>
      <x:c r="C127" s="10" t="n"/>
      <x:c r="D127" s="10" t="n"/>
      <x:c r="E127" s="10" t="n"/>
      <x:c r="F127" s="11" t="n"/>
      <x:c r="G127" s="12" t="n"/>
      <x:c r="H127" s="11" t="n"/>
      <x:c r="I127" s="13" t="n"/>
      <x:c r="J127" s="13" t="n"/>
      <x:c r="K127" s="10" t="n"/>
      <x:c r="L127" s="10" t="n"/>
      <x:c r="M127" s="10" t="n"/>
      <x:c r="N127" s="10" t="n"/>
    </x:row>
    <x:row r="128">
      <x:c r="A128" s="10" t="n"/>
      <x:c r="B128" s="10" t="n"/>
      <x:c r="C128" s="10" t="n"/>
      <x:c r="D128" s="10" t="n"/>
      <x:c r="E128" s="10" t="n"/>
      <x:c r="F128" s="11" t="n"/>
      <x:c r="G128" s="12" t="n"/>
      <x:c r="H128" s="11" t="n"/>
      <x:c r="I128" s="13" t="n"/>
      <x:c r="J128" s="13" t="n"/>
      <x:c r="K128" s="10" t="n"/>
      <x:c r="L128" s="10" t="n"/>
      <x:c r="M128" s="10" t="n"/>
      <x:c r="N128" s="10" t="n"/>
    </x:row>
    <x:row r="129">
      <x:c r="A129" s="10" t="n"/>
      <x:c r="B129" s="10" t="n"/>
      <x:c r="C129" s="10" t="n"/>
      <x:c r="D129" s="10" t="n"/>
      <x:c r="E129" s="10" t="n"/>
      <x:c r="F129" s="11" t="n"/>
      <x:c r="G129" s="12" t="n"/>
      <x:c r="H129" s="11" t="n"/>
      <x:c r="I129" s="13" t="n"/>
      <x:c r="J129" s="13" t="n"/>
      <x:c r="K129" s="10" t="n"/>
      <x:c r="L129" s="10" t="n"/>
      <x:c r="M129" s="10" t="n"/>
      <x:c r="N129" s="10" t="n"/>
    </x:row>
    <x:row r="130">
      <x:c r="A130" s="10" t="n"/>
      <x:c r="B130" s="10" t="n"/>
      <x:c r="C130" s="10" t="n"/>
      <x:c r="D130" s="10" t="n"/>
      <x:c r="E130" s="10" t="n"/>
      <x:c r="F130" s="11" t="n"/>
      <x:c r="G130" s="12" t="n"/>
      <x:c r="H130" s="11" t="n"/>
      <x:c r="I130" s="13" t="n"/>
      <x:c r="J130" s="13" t="n"/>
      <x:c r="K130" s="10" t="n"/>
      <x:c r="L130" s="10" t="n"/>
      <x:c r="M130" s="10" t="n"/>
      <x:c r="N130" s="10" t="n"/>
    </x:row>
    <x:row r="131">
      <x:c r="A131" s="10" t="n"/>
      <x:c r="B131" s="10" t="n"/>
      <x:c r="C131" s="10" t="n"/>
      <x:c r="D131" s="10" t="n"/>
      <x:c r="E131" s="10" t="n"/>
      <x:c r="F131" s="11" t="n"/>
      <x:c r="G131" s="12" t="n"/>
      <x:c r="H131" s="11" t="n"/>
      <x:c r="I131" s="13" t="n"/>
      <x:c r="J131" s="13" t="n"/>
      <x:c r="K131" s="10" t="n"/>
      <x:c r="L131" s="10" t="n"/>
      <x:c r="M131" s="10" t="n"/>
      <x:c r="N131" s="10" t="n"/>
    </x:row>
    <x:row r="132">
      <x:c r="A132" s="10" t="n"/>
      <x:c r="B132" s="10" t="n"/>
      <x:c r="C132" s="10" t="n"/>
      <x:c r="D132" s="10" t="n"/>
      <x:c r="E132" s="10" t="n"/>
      <x:c r="F132" s="11" t="n"/>
      <x:c r="G132" s="12" t="n"/>
      <x:c r="H132" s="11" t="n"/>
      <x:c r="I132" s="13" t="n"/>
      <x:c r="J132" s="13" t="n"/>
      <x:c r="K132" s="10" t="n"/>
      <x:c r="L132" s="10" t="n"/>
      <x:c r="M132" s="10" t="n"/>
      <x:c r="N132" s="10" t="n"/>
    </x:row>
    <x:row r="133">
      <x:c r="A133" s="10" t="n"/>
      <x:c r="B133" s="10" t="n"/>
      <x:c r="C133" s="10" t="n"/>
      <x:c r="D133" s="10" t="n"/>
      <x:c r="E133" s="10" t="n"/>
      <x:c r="F133" s="11" t="n"/>
      <x:c r="G133" s="12" t="n"/>
      <x:c r="H133" s="11" t="n"/>
      <x:c r="I133" s="13" t="n"/>
      <x:c r="J133" s="13" t="n"/>
      <x:c r="K133" s="10" t="n"/>
      <x:c r="L133" s="10" t="n"/>
      <x:c r="M133" s="10" t="n"/>
      <x:c r="N133" s="10" t="n"/>
    </x:row>
    <x:row r="134">
      <x:c r="A134" s="10" t="n"/>
      <x:c r="B134" s="10" t="n"/>
      <x:c r="C134" s="10" t="n"/>
      <x:c r="D134" s="10" t="n"/>
      <x:c r="E134" s="10" t="n"/>
      <x:c r="F134" s="11" t="n"/>
      <x:c r="G134" s="12" t="n"/>
      <x:c r="H134" s="11" t="n"/>
      <x:c r="I134" s="13" t="n"/>
      <x:c r="J134" s="13" t="n"/>
      <x:c r="K134" s="10" t="n"/>
      <x:c r="L134" s="10" t="n"/>
      <x:c r="M134" s="10" t="n"/>
      <x:c r="N134" s="10" t="n"/>
    </x:row>
    <x:row r="135">
      <x:c r="A135" s="10" t="n"/>
      <x:c r="B135" s="10" t="n"/>
      <x:c r="C135" s="10" t="n"/>
      <x:c r="D135" s="10" t="n"/>
      <x:c r="E135" s="10" t="n"/>
      <x:c r="F135" s="11" t="n"/>
      <x:c r="G135" s="12" t="n"/>
      <x:c r="H135" s="11" t="n"/>
      <x:c r="I135" s="13" t="n"/>
      <x:c r="J135" s="13" t="n"/>
      <x:c r="K135" s="10" t="n"/>
      <x:c r="L135" s="10" t="n"/>
      <x:c r="M135" s="10" t="n"/>
      <x:c r="N135" s="10" t="n"/>
    </x:row>
    <x:row r="136">
      <x:c r="A136" s="10" t="n"/>
      <x:c r="B136" s="10" t="n"/>
      <x:c r="C136" s="10" t="n"/>
      <x:c r="D136" s="10" t="n"/>
      <x:c r="E136" s="10" t="n"/>
      <x:c r="F136" s="11" t="n"/>
      <x:c r="G136" s="12" t="n"/>
      <x:c r="H136" s="11" t="n"/>
      <x:c r="I136" s="13" t="n"/>
      <x:c r="J136" s="13" t="n"/>
      <x:c r="K136" s="10" t="n"/>
      <x:c r="L136" s="10" t="n"/>
      <x:c r="M136" s="10" t="n"/>
      <x:c r="N136" s="10" t="n"/>
    </x:row>
    <x:row r="137">
      <x:c r="A137" s="10" t="n"/>
      <x:c r="B137" s="10" t="n"/>
      <x:c r="C137" s="10" t="n"/>
      <x:c r="D137" s="10" t="n"/>
      <x:c r="E137" s="10" t="n"/>
      <x:c r="F137" s="11" t="n"/>
      <x:c r="G137" s="12" t="n"/>
      <x:c r="H137" s="11" t="n"/>
      <x:c r="I137" s="13" t="n"/>
      <x:c r="J137" s="13" t="n"/>
      <x:c r="K137" s="10" t="n"/>
      <x:c r="L137" s="10" t="n"/>
      <x:c r="M137" s="10" t="n"/>
      <x:c r="N137" s="10" t="n"/>
    </x:row>
    <x:row r="138">
      <x:c r="A138" s="10" t="n"/>
      <x:c r="B138" s="10" t="n"/>
      <x:c r="C138" s="10" t="n"/>
      <x:c r="D138" s="10" t="n"/>
      <x:c r="E138" s="10" t="n"/>
      <x:c r="F138" s="11" t="n"/>
      <x:c r="G138" s="12" t="n"/>
      <x:c r="H138" s="11" t="n"/>
      <x:c r="I138" s="13" t="n"/>
      <x:c r="J138" s="13" t="n"/>
      <x:c r="K138" s="10" t="n"/>
      <x:c r="L138" s="10" t="n"/>
      <x:c r="M138" s="10" t="n"/>
      <x:c r="N138" s="10" t="n"/>
    </x:row>
    <x:row r="139">
      <x:c r="A139" s="10" t="n"/>
      <x:c r="B139" s="10" t="n"/>
      <x:c r="C139" s="10" t="n"/>
      <x:c r="D139" s="10" t="n"/>
      <x:c r="E139" s="10" t="n"/>
      <x:c r="F139" s="11" t="n"/>
      <x:c r="G139" s="12" t="n"/>
      <x:c r="H139" s="11" t="n"/>
      <x:c r="I139" s="13" t="n"/>
      <x:c r="J139" s="13" t="n"/>
      <x:c r="K139" s="10" t="n"/>
      <x:c r="L139" s="10" t="n"/>
      <x:c r="M139" s="10" t="n"/>
      <x:c r="N139" s="10" t="n"/>
    </x:row>
    <x:row r="140">
      <x:c r="A140" s="10" t="n"/>
      <x:c r="B140" s="10" t="n"/>
      <x:c r="C140" s="10" t="n"/>
      <x:c r="D140" s="10" t="n"/>
      <x:c r="E140" s="10" t="n"/>
      <x:c r="F140" s="11" t="n"/>
      <x:c r="G140" s="12" t="n"/>
      <x:c r="H140" s="11" t="n"/>
      <x:c r="I140" s="13" t="n"/>
      <x:c r="J140" s="13" t="n"/>
      <x:c r="K140" s="10" t="n"/>
      <x:c r="L140" s="10" t="n"/>
      <x:c r="M140" s="10" t="n"/>
      <x:c r="N140" s="10" t="n"/>
    </x:row>
    <x:row r="141">
      <x:c r="A141" s="10" t="n"/>
      <x:c r="B141" s="10" t="n"/>
      <x:c r="C141" s="10" t="n"/>
      <x:c r="D141" s="10" t="n"/>
      <x:c r="E141" s="10" t="n"/>
      <x:c r="F141" s="11" t="n"/>
      <x:c r="G141" s="12" t="n"/>
      <x:c r="H141" s="11" t="n"/>
      <x:c r="I141" s="13" t="n"/>
      <x:c r="J141" s="13" t="n"/>
      <x:c r="K141" s="10" t="n"/>
      <x:c r="L141" s="10" t="n"/>
      <x:c r="M141" s="10" t="n"/>
      <x:c r="N141" s="10" t="n"/>
    </x:row>
    <x:row r="142">
      <x:c r="A142" s="10" t="n"/>
      <x:c r="B142" s="10" t="n"/>
      <x:c r="C142" s="10" t="n"/>
      <x:c r="D142" s="10" t="n"/>
      <x:c r="E142" s="10" t="n"/>
      <x:c r="F142" s="11" t="n"/>
      <x:c r="G142" s="12" t="n"/>
      <x:c r="H142" s="11" t="n"/>
      <x:c r="I142" s="13" t="n"/>
      <x:c r="J142" s="13" t="n"/>
      <x:c r="K142" s="10" t="n"/>
      <x:c r="L142" s="10" t="n"/>
      <x:c r="M142" s="10" t="n"/>
      <x:c r="N142" s="10" t="n"/>
    </x:row>
    <x:row r="143">
      <x:c r="A143" s="10" t="n"/>
      <x:c r="B143" s="10" t="n"/>
      <x:c r="C143" s="10" t="n"/>
      <x:c r="D143" s="10" t="n"/>
      <x:c r="E143" s="10" t="n"/>
      <x:c r="F143" s="11" t="n"/>
      <x:c r="G143" s="12" t="n"/>
      <x:c r="H143" s="11" t="n"/>
      <x:c r="I143" s="13" t="n"/>
      <x:c r="J143" s="13" t="n"/>
      <x:c r="K143" s="10" t="n"/>
      <x:c r="L143" s="10" t="n"/>
      <x:c r="M143" s="10" t="n"/>
      <x:c r="N143" s="10" t="n"/>
    </x:row>
    <x:row r="144">
      <x:c r="A144" s="10" t="n"/>
      <x:c r="B144" s="10" t="n"/>
      <x:c r="C144" s="10" t="n"/>
      <x:c r="D144" s="10" t="n"/>
      <x:c r="E144" s="10" t="n"/>
      <x:c r="F144" s="11" t="n"/>
      <x:c r="G144" s="12" t="n"/>
      <x:c r="H144" s="11" t="n"/>
      <x:c r="I144" s="13" t="n"/>
      <x:c r="J144" s="13" t="n"/>
      <x:c r="K144" s="10" t="n"/>
      <x:c r="L144" s="10" t="n"/>
      <x:c r="M144" s="10" t="n"/>
      <x:c r="N144" s="10" t="n"/>
    </x:row>
    <x:row r="145">
      <x:c r="A145" s="10" t="n"/>
      <x:c r="B145" s="10" t="n"/>
      <x:c r="C145" s="10" t="n"/>
      <x:c r="D145" s="10" t="n"/>
      <x:c r="E145" s="10" t="n"/>
      <x:c r="F145" s="11" t="n"/>
      <x:c r="G145" s="12" t="n"/>
      <x:c r="H145" s="11" t="n"/>
      <x:c r="I145" s="13" t="n"/>
      <x:c r="J145" s="13" t="n"/>
      <x:c r="K145" s="10" t="n"/>
      <x:c r="L145" s="10" t="n"/>
      <x:c r="M145" s="10" t="n"/>
      <x:c r="N145" s="10" t="n"/>
    </x:row>
    <x:row r="146">
      <x:c r="A146" s="10" t="n"/>
      <x:c r="B146" s="10" t="n"/>
      <x:c r="C146" s="10" t="n"/>
      <x:c r="D146" s="10" t="n"/>
      <x:c r="E146" s="10" t="n"/>
      <x:c r="F146" s="11" t="n"/>
      <x:c r="G146" s="12" t="n"/>
      <x:c r="H146" s="11" t="n"/>
      <x:c r="I146" s="13" t="n"/>
      <x:c r="J146" s="13" t="n"/>
      <x:c r="K146" s="10" t="n"/>
      <x:c r="L146" s="10" t="n"/>
      <x:c r="M146" s="10" t="n"/>
      <x:c r="N146" s="10" t="n"/>
    </x:row>
    <x:row r="147">
      <x:c r="A147" s="10" t="n"/>
      <x:c r="B147" s="10" t="n"/>
      <x:c r="C147" s="10" t="n"/>
      <x:c r="D147" s="10" t="n"/>
      <x:c r="E147" s="10" t="n"/>
      <x:c r="F147" s="11" t="n"/>
      <x:c r="G147" s="12" t="n"/>
      <x:c r="H147" s="11" t="n"/>
      <x:c r="I147" s="13" t="n"/>
      <x:c r="J147" s="13" t="n"/>
      <x:c r="K147" s="10" t="n"/>
      <x:c r="L147" s="10" t="n"/>
      <x:c r="M147" s="10" t="n"/>
      <x:c r="N147" s="10" t="n"/>
    </x:row>
    <x:row r="148">
      <x:c r="A148" s="10" t="n"/>
      <x:c r="B148" s="10" t="n"/>
      <x:c r="C148" s="10" t="n"/>
      <x:c r="D148" s="10" t="n"/>
      <x:c r="E148" s="10" t="n"/>
      <x:c r="F148" s="11" t="n"/>
      <x:c r="G148" s="12" t="n"/>
      <x:c r="H148" s="11" t="n"/>
      <x:c r="I148" s="13" t="n"/>
      <x:c r="J148" s="13" t="n"/>
      <x:c r="K148" s="10" t="n"/>
      <x:c r="L148" s="10" t="n"/>
      <x:c r="M148" s="10" t="n"/>
      <x:c r="N148" s="10" t="n"/>
    </x:row>
    <x:row r="149">
      <x:c r="A149" s="10" t="n"/>
      <x:c r="B149" s="10" t="n"/>
      <x:c r="C149" s="10" t="n"/>
      <x:c r="D149" s="10" t="n"/>
      <x:c r="E149" s="10" t="n"/>
      <x:c r="F149" s="11" t="n"/>
      <x:c r="G149" s="12" t="n"/>
      <x:c r="H149" s="11" t="n"/>
      <x:c r="I149" s="13" t="n"/>
      <x:c r="J149" s="13" t="n"/>
      <x:c r="K149" s="10" t="n"/>
      <x:c r="L149" s="10" t="n"/>
      <x:c r="M149" s="10" t="n"/>
      <x:c r="N149" s="10" t="n"/>
    </x:row>
    <x:row r="150">
      <x:c r="A150" s="10" t="n"/>
      <x:c r="B150" s="10" t="n"/>
      <x:c r="C150" s="10" t="n"/>
      <x:c r="D150" s="10" t="n"/>
      <x:c r="E150" s="10" t="n"/>
      <x:c r="F150" s="11" t="n"/>
      <x:c r="G150" s="12" t="n"/>
      <x:c r="H150" s="11" t="n"/>
      <x:c r="I150" s="13" t="n"/>
      <x:c r="J150" s="13" t="n"/>
      <x:c r="K150" s="10" t="n"/>
      <x:c r="L150" s="10" t="n"/>
      <x:c r="M150" s="10" t="n"/>
      <x:c r="N150" s="10" t="n"/>
    </x:row>
    <x:row r="151">
      <x:c r="A151" s="10" t="n"/>
      <x:c r="B151" s="10" t="n"/>
      <x:c r="C151" s="10" t="n"/>
      <x:c r="D151" s="10" t="n"/>
      <x:c r="E151" s="10" t="n"/>
      <x:c r="F151" s="11" t="n"/>
      <x:c r="G151" s="12" t="n"/>
      <x:c r="H151" s="11" t="n"/>
      <x:c r="I151" s="13" t="n"/>
      <x:c r="J151" s="13" t="n"/>
      <x:c r="K151" s="10" t="n"/>
      <x:c r="L151" s="10" t="n"/>
      <x:c r="M151" s="10" t="n"/>
      <x:c r="N151" s="10" t="n"/>
    </x:row>
    <x:row r="152">
      <x:c r="A152" s="10" t="n"/>
      <x:c r="B152" s="10" t="n"/>
      <x:c r="C152" s="10" t="n"/>
      <x:c r="D152" s="10" t="n"/>
      <x:c r="E152" s="10" t="n"/>
      <x:c r="F152" s="11" t="n"/>
      <x:c r="G152" s="12" t="n"/>
      <x:c r="H152" s="11" t="n"/>
      <x:c r="I152" s="13" t="n"/>
      <x:c r="J152" s="13" t="n"/>
      <x:c r="K152" s="10" t="n"/>
      <x:c r="L152" s="10" t="n"/>
      <x:c r="M152" s="10" t="n"/>
      <x:c r="N152" s="10" t="n"/>
    </x:row>
    <x:row r="153">
      <x:c r="A153" s="10" t="n"/>
      <x:c r="B153" s="10" t="n"/>
      <x:c r="C153" s="10" t="n"/>
      <x:c r="D153" s="10" t="n"/>
      <x:c r="E153" s="10" t="n"/>
      <x:c r="F153" s="11" t="n"/>
      <x:c r="G153" s="12" t="n"/>
      <x:c r="H153" s="11" t="n"/>
      <x:c r="I153" s="13" t="n"/>
      <x:c r="J153" s="13" t="n"/>
      <x:c r="K153" s="10" t="n"/>
      <x:c r="L153" s="10" t="n"/>
      <x:c r="M153" s="10" t="n"/>
      <x:c r="N153" s="10" t="n"/>
    </x:row>
    <x:row r="154">
      <x:c r="A154" s="10" t="n"/>
      <x:c r="B154" s="10" t="n"/>
      <x:c r="C154" s="10" t="n"/>
      <x:c r="D154" s="10" t="n"/>
      <x:c r="E154" s="10" t="n"/>
      <x:c r="F154" s="11" t="n"/>
      <x:c r="G154" s="12" t="n"/>
      <x:c r="H154" s="11" t="n"/>
      <x:c r="I154" s="13" t="n"/>
      <x:c r="J154" s="13" t="n"/>
      <x:c r="K154" s="10" t="n"/>
      <x:c r="L154" s="10" t="n"/>
      <x:c r="M154" s="10" t="n"/>
      <x:c r="N154" s="10" t="n"/>
    </x:row>
    <x:row r="155">
      <x:c r="A155" s="10" t="n"/>
      <x:c r="B155" s="10" t="n"/>
      <x:c r="C155" s="10" t="n"/>
      <x:c r="D155" s="10" t="n"/>
      <x:c r="E155" s="10" t="n"/>
      <x:c r="F155" s="11" t="n"/>
      <x:c r="G155" s="12" t="n"/>
      <x:c r="H155" s="11" t="n"/>
      <x:c r="I155" s="13" t="n"/>
      <x:c r="J155" s="13" t="n"/>
      <x:c r="K155" s="10" t="n"/>
      <x:c r="L155" s="10" t="n"/>
      <x:c r="M155" s="10" t="n"/>
      <x:c r="N155" s="10" t="n"/>
    </x:row>
    <x:row r="156">
      <x:c r="A156" s="10" t="n"/>
      <x:c r="B156" s="10" t="n"/>
      <x:c r="C156" s="10" t="n"/>
      <x:c r="D156" s="10" t="n"/>
      <x:c r="E156" s="10" t="n"/>
      <x:c r="F156" s="11" t="n"/>
      <x:c r="G156" s="12" t="n"/>
      <x:c r="H156" s="11" t="n"/>
      <x:c r="I156" s="13" t="n"/>
      <x:c r="J156" s="13" t="n"/>
      <x:c r="K156" s="10" t="n"/>
      <x:c r="L156" s="10" t="n"/>
      <x:c r="M156" s="10" t="n"/>
      <x:c r="N156" s="10" t="n"/>
    </x:row>
    <x:row r="157">
      <x:c r="A157" s="10" t="n"/>
      <x:c r="B157" s="10" t="n"/>
      <x:c r="C157" s="10" t="n"/>
      <x:c r="D157" s="10" t="n"/>
      <x:c r="E157" s="10" t="n"/>
      <x:c r="F157" s="11" t="n"/>
      <x:c r="G157" s="12" t="n"/>
      <x:c r="H157" s="11" t="n"/>
      <x:c r="I157" s="13" t="n"/>
      <x:c r="J157" s="13" t="n"/>
      <x:c r="K157" s="10" t="n"/>
      <x:c r="L157" s="10" t="n"/>
      <x:c r="M157" s="10" t="n"/>
      <x:c r="N157" s="10" t="n"/>
    </x:row>
    <x:row r="158">
      <x:c r="A158" s="10" t="n"/>
      <x:c r="B158" s="10" t="n"/>
      <x:c r="C158" s="10" t="n"/>
      <x:c r="D158" s="10" t="n"/>
      <x:c r="E158" s="10" t="n"/>
      <x:c r="F158" s="11" t="n"/>
      <x:c r="G158" s="12" t="n"/>
      <x:c r="H158" s="11" t="n"/>
      <x:c r="I158" s="13" t="n"/>
      <x:c r="J158" s="13" t="n"/>
      <x:c r="K158" s="10" t="n"/>
      <x:c r="L158" s="10" t="n"/>
      <x:c r="M158" s="10" t="n"/>
      <x:c r="N158" s="10" t="n"/>
    </x:row>
    <x:row r="159">
      <x:c r="A159" s="10" t="n"/>
      <x:c r="B159" s="10" t="n"/>
      <x:c r="C159" s="10" t="n"/>
      <x:c r="D159" s="10" t="n"/>
      <x:c r="E159" s="10" t="n"/>
      <x:c r="F159" s="11" t="n"/>
      <x:c r="G159" s="12" t="n"/>
      <x:c r="H159" s="11" t="n"/>
      <x:c r="I159" s="13" t="n"/>
      <x:c r="J159" s="13" t="n"/>
      <x:c r="K159" s="10" t="n"/>
      <x:c r="L159" s="10" t="n"/>
      <x:c r="M159" s="10" t="n"/>
      <x:c r="N159" s="10" t="n"/>
    </x:row>
    <x:row r="160">
      <x:c r="A160" s="10" t="n"/>
      <x:c r="B160" s="10" t="n"/>
      <x:c r="C160" s="10" t="n"/>
      <x:c r="D160" s="10" t="n"/>
      <x:c r="E160" s="10" t="n"/>
      <x:c r="F160" s="11" t="n"/>
      <x:c r="G160" s="12" t="n"/>
      <x:c r="H160" s="11" t="n"/>
      <x:c r="I160" s="13" t="n"/>
      <x:c r="J160" s="13" t="n"/>
      <x:c r="K160" s="10" t="n"/>
      <x:c r="L160" s="10" t="n"/>
      <x:c r="M160" s="10" t="n"/>
      <x:c r="N160" s="10" t="n"/>
    </x:row>
    <x:row r="161">
      <x:c r="A161" s="10" t="n"/>
      <x:c r="B161" s="10" t="n"/>
      <x:c r="C161" s="10" t="n"/>
      <x:c r="D161" s="10" t="n"/>
      <x:c r="E161" s="10" t="n"/>
      <x:c r="F161" s="11" t="n"/>
      <x:c r="G161" s="12" t="n"/>
      <x:c r="H161" s="11" t="n"/>
      <x:c r="I161" s="13" t="n"/>
      <x:c r="J161" s="13" t="n"/>
      <x:c r="K161" s="10" t="n"/>
      <x:c r="L161" s="10" t="n"/>
      <x:c r="M161" s="10" t="n"/>
      <x:c r="N161" s="10" t="n"/>
    </x:row>
    <x:row r="162">
      <x:c r="A162" s="10" t="n"/>
      <x:c r="B162" s="10" t="n"/>
      <x:c r="C162" s="10" t="n"/>
      <x:c r="D162" s="10" t="n"/>
      <x:c r="E162" s="10" t="n"/>
      <x:c r="F162" s="11" t="n"/>
      <x:c r="G162" s="12" t="n"/>
      <x:c r="H162" s="11" t="n"/>
      <x:c r="I162" s="13" t="n"/>
      <x:c r="J162" s="13" t="n"/>
      <x:c r="K162" s="10" t="n"/>
      <x:c r="L162" s="10" t="n"/>
      <x:c r="M162" s="10" t="n"/>
      <x:c r="N162" s="10" t="n"/>
    </x:row>
    <x:row r="163">
      <x:c r="A163" s="10" t="n"/>
      <x:c r="B163" s="10" t="n"/>
      <x:c r="C163" s="10" t="n"/>
      <x:c r="D163" s="10" t="n"/>
      <x:c r="E163" s="10" t="n"/>
      <x:c r="F163" s="11" t="n"/>
      <x:c r="G163" s="12" t="n"/>
      <x:c r="H163" s="11" t="n"/>
      <x:c r="I163" s="13" t="n"/>
      <x:c r="J163" s="13" t="n"/>
      <x:c r="K163" s="10" t="n"/>
      <x:c r="L163" s="10" t="n"/>
      <x:c r="M163" s="10" t="n"/>
      <x:c r="N163" s="10" t="n"/>
    </x:row>
    <x:row r="164">
      <x:c r="A164" s="10" t="n"/>
      <x:c r="B164" s="10" t="n"/>
      <x:c r="C164" s="10" t="n"/>
      <x:c r="D164" s="10" t="n"/>
      <x:c r="E164" s="10" t="n"/>
      <x:c r="F164" s="11" t="n"/>
      <x:c r="G164" s="12" t="n"/>
      <x:c r="H164" s="11" t="n"/>
      <x:c r="I164" s="13" t="n"/>
      <x:c r="J164" s="13" t="n"/>
      <x:c r="K164" s="10" t="n"/>
      <x:c r="L164" s="10" t="n"/>
      <x:c r="M164" s="10" t="n"/>
      <x:c r="N164" s="10" t="n"/>
    </x:row>
    <x:row r="165">
      <x:c r="A165" s="10" t="n"/>
      <x:c r="B165" s="10" t="n"/>
      <x:c r="C165" s="10" t="n"/>
      <x:c r="D165" s="10" t="n"/>
      <x:c r="E165" s="10" t="n"/>
      <x:c r="F165" s="11" t="n"/>
      <x:c r="G165" s="12" t="n"/>
      <x:c r="H165" s="11" t="n"/>
      <x:c r="I165" s="13" t="n"/>
      <x:c r="J165" s="13" t="n"/>
      <x:c r="K165" s="10" t="n"/>
      <x:c r="L165" s="10" t="n"/>
      <x:c r="M165" s="10" t="n"/>
      <x:c r="N165" s="10" t="n"/>
    </x:row>
    <x:row r="166">
      <x:c r="A166" s="10" t="n"/>
      <x:c r="B166" s="10" t="n"/>
      <x:c r="C166" s="10" t="n"/>
      <x:c r="D166" s="10" t="n"/>
      <x:c r="E166" s="10" t="n"/>
      <x:c r="F166" s="11" t="n"/>
      <x:c r="G166" s="12" t="n"/>
      <x:c r="H166" s="11" t="n"/>
      <x:c r="I166" s="13" t="n"/>
      <x:c r="J166" s="13" t="n"/>
      <x:c r="K166" s="10" t="n"/>
      <x:c r="L166" s="10" t="n"/>
      <x:c r="M166" s="10" t="n"/>
      <x:c r="N166" s="10" t="n"/>
    </x:row>
    <x:row r="167">
      <x:c r="A167" s="10" t="n"/>
      <x:c r="B167" s="10" t="n"/>
      <x:c r="C167" s="10" t="n"/>
      <x:c r="D167" s="10" t="n"/>
      <x:c r="E167" s="10" t="n"/>
      <x:c r="F167" s="11" t="n"/>
      <x:c r="G167" s="12" t="n"/>
      <x:c r="H167" s="11" t="n"/>
      <x:c r="I167" s="13" t="n"/>
      <x:c r="J167" s="13" t="n"/>
      <x:c r="K167" s="10" t="n"/>
      <x:c r="L167" s="10" t="n"/>
      <x:c r="M167" s="10" t="n"/>
      <x:c r="N167" s="10" t="n"/>
    </x:row>
    <x:row r="168">
      <x:c r="A168" s="10" t="n"/>
      <x:c r="B168" s="10" t="n"/>
      <x:c r="C168" s="10" t="n"/>
      <x:c r="D168" s="10" t="n"/>
      <x:c r="E168" s="10" t="n"/>
      <x:c r="F168" s="11" t="n"/>
      <x:c r="G168" s="12" t="n"/>
      <x:c r="H168" s="11" t="n"/>
      <x:c r="I168" s="13" t="n"/>
      <x:c r="J168" s="13" t="n"/>
      <x:c r="K168" s="10" t="n"/>
      <x:c r="L168" s="10" t="n"/>
      <x:c r="M168" s="10" t="n"/>
      <x:c r="N168" s="10" t="n"/>
    </x:row>
    <x:row r="169">
      <x:c r="A169" s="10" t="n"/>
      <x:c r="B169" s="10" t="n"/>
      <x:c r="C169" s="10" t="n"/>
      <x:c r="D169" s="10" t="n"/>
      <x:c r="E169" s="10" t="n"/>
      <x:c r="F169" s="11" t="n"/>
      <x:c r="G169" s="12" t="n"/>
      <x:c r="H169" s="11" t="n"/>
      <x:c r="I169" s="13" t="n"/>
      <x:c r="J169" s="13" t="n"/>
      <x:c r="K169" s="10" t="n"/>
      <x:c r="L169" s="10" t="n"/>
      <x:c r="M169" s="10" t="n"/>
      <x:c r="N169" s="10" t="n"/>
    </x:row>
    <x:row r="170">
      <x:c r="A170" s="10" t="n"/>
      <x:c r="B170" s="10" t="n"/>
      <x:c r="C170" s="10" t="n"/>
      <x:c r="D170" s="10" t="n"/>
      <x:c r="E170" s="10" t="n"/>
      <x:c r="F170" s="11" t="n"/>
      <x:c r="G170" s="12" t="n"/>
      <x:c r="H170" s="11" t="n"/>
      <x:c r="I170" s="13" t="n"/>
      <x:c r="J170" s="13" t="n"/>
      <x:c r="K170" s="10" t="n"/>
      <x:c r="L170" s="10" t="n"/>
      <x:c r="M170" s="10" t="n"/>
      <x:c r="N170" s="10" t="n"/>
    </x:row>
    <x:row r="171">
      <x:c r="A171" s="10" t="n"/>
      <x:c r="B171" s="10" t="n"/>
      <x:c r="C171" s="10" t="n"/>
      <x:c r="D171" s="10" t="n"/>
      <x:c r="E171" s="10" t="n"/>
      <x:c r="F171" s="11" t="n"/>
      <x:c r="G171" s="12" t="n"/>
      <x:c r="H171" s="11" t="n"/>
      <x:c r="I171" s="13" t="n"/>
      <x:c r="J171" s="13" t="n"/>
      <x:c r="K171" s="10" t="n"/>
      <x:c r="L171" s="10" t="n"/>
      <x:c r="M171" s="10" t="n"/>
      <x:c r="N171" s="10" t="n"/>
    </x:row>
    <x:row r="172">
      <x:c r="A172" s="10" t="n"/>
      <x:c r="B172" s="10" t="n"/>
      <x:c r="C172" s="10" t="n"/>
      <x:c r="D172" s="10" t="n"/>
      <x:c r="E172" s="10" t="n"/>
      <x:c r="F172" s="11" t="n"/>
      <x:c r="G172" s="12" t="n"/>
      <x:c r="H172" s="11" t="n"/>
      <x:c r="I172" s="13" t="n"/>
      <x:c r="J172" s="13" t="n"/>
      <x:c r="K172" s="10" t="n"/>
      <x:c r="L172" s="10" t="n"/>
      <x:c r="M172" s="10" t="n"/>
      <x:c r="N172" s="10" t="n"/>
    </x:row>
    <x:row r="173">
      <x:c r="A173" s="10" t="n"/>
      <x:c r="B173" s="10" t="n"/>
      <x:c r="C173" s="10" t="n"/>
      <x:c r="D173" s="10" t="n"/>
      <x:c r="E173" s="10" t="n"/>
      <x:c r="F173" s="11" t="n"/>
      <x:c r="G173" s="12" t="n"/>
      <x:c r="H173" s="11" t="n"/>
      <x:c r="I173" s="13" t="n"/>
      <x:c r="J173" s="13" t="n"/>
      <x:c r="K173" s="10" t="n"/>
      <x:c r="L173" s="10" t="n"/>
      <x:c r="M173" s="10" t="n"/>
      <x:c r="N173" s="10" t="n"/>
    </x:row>
    <x:row r="174">
      <x:c r="A174" s="10" t="n"/>
      <x:c r="B174" s="10" t="n"/>
      <x:c r="C174" s="10" t="n"/>
      <x:c r="D174" s="10" t="n"/>
      <x:c r="E174" s="10" t="n"/>
      <x:c r="F174" s="11" t="n"/>
      <x:c r="G174" s="12" t="n"/>
      <x:c r="H174" s="11" t="n"/>
      <x:c r="I174" s="13" t="n"/>
      <x:c r="J174" s="13" t="n"/>
      <x:c r="K174" s="10" t="n"/>
      <x:c r="L174" s="10" t="n"/>
      <x:c r="M174" s="10" t="n"/>
      <x:c r="N174" s="10" t="n"/>
    </x:row>
    <x:row r="175">
      <x:c r="A175" s="10" t="n"/>
      <x:c r="B175" s="10" t="n"/>
      <x:c r="C175" s="10" t="n"/>
      <x:c r="D175" s="10" t="n"/>
      <x:c r="E175" s="10" t="n"/>
      <x:c r="F175" s="11" t="n"/>
      <x:c r="G175" s="12" t="n"/>
      <x:c r="H175" s="11" t="n"/>
      <x:c r="I175" s="13" t="n"/>
      <x:c r="J175" s="13" t="n"/>
      <x:c r="K175" s="10" t="n"/>
      <x:c r="L175" s="10" t="n"/>
      <x:c r="M175" s="10" t="n"/>
      <x:c r="N175" s="10" t="n"/>
    </x:row>
    <x:row r="176">
      <x:c r="A176" s="10" t="n"/>
      <x:c r="B176" s="10" t="n"/>
      <x:c r="C176" s="10" t="n"/>
      <x:c r="D176" s="10" t="n"/>
      <x:c r="E176" s="10" t="n"/>
      <x:c r="F176" s="11" t="n"/>
      <x:c r="G176" s="12" t="n"/>
      <x:c r="H176" s="11" t="n"/>
      <x:c r="I176" s="13" t="n"/>
      <x:c r="J176" s="13" t="n"/>
      <x:c r="K176" s="10" t="n"/>
      <x:c r="L176" s="10" t="n"/>
      <x:c r="M176" s="10" t="n"/>
      <x:c r="N176" s="10" t="n"/>
    </x:row>
    <x:row r="177">
      <x:c r="A177" s="10" t="n"/>
      <x:c r="B177" s="10" t="n"/>
      <x:c r="C177" s="10" t="n"/>
      <x:c r="D177" s="10" t="n"/>
      <x:c r="E177" s="10" t="n"/>
      <x:c r="F177" s="11" t="n"/>
      <x:c r="G177" s="12" t="n"/>
      <x:c r="H177" s="11" t="n"/>
      <x:c r="I177" s="13" t="n"/>
      <x:c r="J177" s="13" t="n"/>
      <x:c r="K177" s="10" t="n"/>
      <x:c r="L177" s="10" t="n"/>
      <x:c r="M177" s="10" t="n"/>
      <x:c r="N177" s="10" t="n"/>
    </x:row>
    <x:row r="178">
      <x:c r="A178" s="10" t="n"/>
      <x:c r="B178" s="10" t="n"/>
      <x:c r="C178" s="10" t="n"/>
      <x:c r="D178" s="10" t="n"/>
      <x:c r="E178" s="10" t="n"/>
      <x:c r="F178" s="11" t="n"/>
      <x:c r="G178" s="12" t="n"/>
      <x:c r="H178" s="11" t="n"/>
      <x:c r="I178" s="13" t="n"/>
      <x:c r="J178" s="13" t="n"/>
      <x:c r="K178" s="10" t="n"/>
      <x:c r="L178" s="10" t="n"/>
      <x:c r="M178" s="10" t="n"/>
      <x:c r="N178" s="10" t="n"/>
    </x:row>
    <x:row r="179">
      <x:c r="A179" s="10" t="n"/>
      <x:c r="B179" s="10" t="n"/>
      <x:c r="C179" s="10" t="n"/>
      <x:c r="D179" s="10" t="n"/>
      <x:c r="E179" s="10" t="n"/>
      <x:c r="F179" s="11" t="n"/>
      <x:c r="G179" s="12" t="n"/>
      <x:c r="H179" s="11" t="n"/>
      <x:c r="I179" s="13" t="n"/>
      <x:c r="J179" s="13" t="n"/>
      <x:c r="K179" s="10" t="n"/>
      <x:c r="L179" s="10" t="n"/>
      <x:c r="M179" s="10" t="n"/>
      <x:c r="N179" s="10" t="n"/>
    </x:row>
    <x:row r="180">
      <x:c r="A180" s="10" t="n"/>
      <x:c r="B180" s="10" t="n"/>
      <x:c r="C180" s="10" t="n"/>
      <x:c r="D180" s="10" t="n"/>
      <x:c r="E180" s="10" t="n"/>
      <x:c r="F180" s="11" t="n"/>
      <x:c r="G180" s="12" t="n"/>
      <x:c r="H180" s="11" t="n"/>
      <x:c r="I180" s="13" t="n"/>
      <x:c r="J180" s="13" t="n"/>
      <x:c r="K180" s="10" t="n"/>
      <x:c r="L180" s="10" t="n"/>
      <x:c r="M180" s="10" t="n"/>
      <x:c r="N180" s="10" t="n"/>
    </x:row>
    <x:row r="181">
      <x:c r="A181" s="10" t="n"/>
      <x:c r="B181" s="10" t="n"/>
      <x:c r="C181" s="10" t="n"/>
      <x:c r="D181" s="10" t="n"/>
      <x:c r="E181" s="10" t="n"/>
      <x:c r="F181" s="11" t="n"/>
      <x:c r="G181" s="12" t="n"/>
      <x:c r="H181" s="11" t="n"/>
      <x:c r="I181" s="13" t="n"/>
      <x:c r="J181" s="13" t="n"/>
      <x:c r="K181" s="10" t="n"/>
      <x:c r="L181" s="10" t="n"/>
      <x:c r="M181" s="10" t="n"/>
      <x:c r="N181" s="10" t="n"/>
    </x:row>
    <x:row r="182">
      <x:c r="A182" s="10" t="n"/>
      <x:c r="B182" s="10" t="n"/>
      <x:c r="C182" s="10" t="n"/>
      <x:c r="D182" s="10" t="n"/>
      <x:c r="E182" s="10" t="n"/>
      <x:c r="F182" s="11" t="n"/>
      <x:c r="G182" s="12" t="n"/>
      <x:c r="H182" s="11" t="n"/>
      <x:c r="I182" s="13" t="n"/>
      <x:c r="J182" s="13" t="n"/>
      <x:c r="K182" s="10" t="n"/>
      <x:c r="L182" s="10" t="n"/>
      <x:c r="M182" s="10" t="n"/>
      <x:c r="N182" s="10" t="n"/>
    </x:row>
    <x:row r="183">
      <x:c r="A183" s="10" t="n"/>
      <x:c r="B183" s="10" t="n"/>
      <x:c r="C183" s="10" t="n"/>
      <x:c r="D183" s="10" t="n"/>
      <x:c r="E183" s="10" t="n"/>
      <x:c r="F183" s="11" t="n"/>
      <x:c r="G183" s="12" t="n"/>
      <x:c r="H183" s="11" t="n"/>
      <x:c r="I183" s="13" t="n"/>
      <x:c r="J183" s="13" t="n"/>
      <x:c r="K183" s="10" t="n"/>
      <x:c r="L183" s="10" t="n"/>
      <x:c r="M183" s="10" t="n"/>
      <x:c r="N183" s="10" t="n"/>
    </x:row>
    <x:row r="184">
      <x:c r="A184" s="10" t="n"/>
      <x:c r="B184" s="10" t="n"/>
      <x:c r="C184" s="10" t="n"/>
      <x:c r="D184" s="10" t="n"/>
      <x:c r="E184" s="10" t="n"/>
      <x:c r="F184" s="11" t="n"/>
      <x:c r="G184" s="12" t="n"/>
      <x:c r="H184" s="11" t="n"/>
      <x:c r="I184" s="13" t="n"/>
      <x:c r="J184" s="13" t="n"/>
      <x:c r="K184" s="10" t="n"/>
      <x:c r="L184" s="10" t="n"/>
      <x:c r="M184" s="10" t="n"/>
      <x:c r="N184" s="10" t="n"/>
    </x:row>
    <x:row r="185">
      <x:c r="A185" s="10" t="n"/>
      <x:c r="B185" s="10" t="n"/>
      <x:c r="C185" s="10" t="n"/>
      <x:c r="D185" s="10" t="n"/>
      <x:c r="E185" s="10" t="n"/>
      <x:c r="F185" s="11" t="n"/>
      <x:c r="G185" s="12" t="n"/>
      <x:c r="H185" s="11" t="n"/>
      <x:c r="I185" s="13" t="n"/>
      <x:c r="J185" s="13" t="n"/>
      <x:c r="K185" s="10" t="n"/>
      <x:c r="L185" s="10" t="n"/>
      <x:c r="M185" s="10" t="n"/>
      <x:c r="N185" s="10" t="n"/>
    </x:row>
    <x:row r="186">
      <x:c r="A186" s="10" t="n"/>
      <x:c r="B186" s="10" t="n"/>
      <x:c r="C186" s="10" t="n"/>
      <x:c r="D186" s="10" t="n"/>
      <x:c r="E186" s="10" t="n"/>
      <x:c r="F186" s="11" t="n"/>
      <x:c r="G186" s="12" t="n"/>
      <x:c r="H186" s="11" t="n"/>
      <x:c r="I186" s="13" t="n"/>
      <x:c r="J186" s="13" t="n"/>
      <x:c r="K186" s="10" t="n"/>
      <x:c r="L186" s="10" t="n"/>
      <x:c r="M186" s="10" t="n"/>
      <x:c r="N186" s="10" t="n"/>
    </x:row>
    <x:row r="187">
      <x:c r="A187" s="10" t="n"/>
      <x:c r="B187" s="10" t="n"/>
      <x:c r="C187" s="10" t="n"/>
      <x:c r="D187" s="10" t="n"/>
      <x:c r="E187" s="10" t="n"/>
      <x:c r="F187" s="11" t="n"/>
      <x:c r="G187" s="12" t="n"/>
      <x:c r="H187" s="11" t="n"/>
      <x:c r="I187" s="13" t="n"/>
      <x:c r="J187" s="13" t="n"/>
      <x:c r="K187" s="10" t="n"/>
      <x:c r="L187" s="10" t="n"/>
      <x:c r="M187" s="10" t="n"/>
      <x:c r="N187" s="10" t="n"/>
    </x:row>
    <x:row r="188">
      <x:c r="A188" s="10" t="n"/>
      <x:c r="B188" s="10" t="n"/>
      <x:c r="C188" s="10" t="n"/>
      <x:c r="D188" s="10" t="n"/>
      <x:c r="E188" s="10" t="n"/>
      <x:c r="F188" s="11" t="n"/>
      <x:c r="G188" s="12" t="n"/>
      <x:c r="H188" s="11" t="n"/>
      <x:c r="I188" s="13" t="n"/>
      <x:c r="J188" s="13" t="n"/>
      <x:c r="K188" s="10" t="n"/>
      <x:c r="L188" s="10" t="n"/>
      <x:c r="M188" s="10" t="n"/>
      <x:c r="N188" s="10" t="n"/>
    </x:row>
    <x:row r="189">
      <x:c r="A189" s="10" t="n"/>
      <x:c r="B189" s="10" t="n"/>
      <x:c r="C189" s="10" t="n"/>
      <x:c r="D189" s="10" t="n"/>
      <x:c r="E189" s="10" t="n"/>
      <x:c r="F189" s="11" t="n"/>
      <x:c r="G189" s="12" t="n"/>
      <x:c r="H189" s="11" t="n"/>
      <x:c r="I189" s="13" t="n"/>
      <x:c r="J189" s="13" t="n"/>
      <x:c r="K189" s="10" t="n"/>
      <x:c r="L189" s="10" t="n"/>
      <x:c r="M189" s="10" t="n"/>
      <x:c r="N189" s="10" t="n"/>
    </x:row>
    <x:row r="190">
      <x:c r="A190" s="10" t="n"/>
      <x:c r="B190" s="10" t="n"/>
      <x:c r="C190" s="10" t="n"/>
      <x:c r="D190" s="10" t="n"/>
      <x:c r="E190" s="10" t="n"/>
      <x:c r="F190" s="11" t="n"/>
      <x:c r="G190" s="12" t="n"/>
      <x:c r="H190" s="11" t="n"/>
      <x:c r="I190" s="13" t="n"/>
      <x:c r="J190" s="13" t="n"/>
      <x:c r="K190" s="10" t="n"/>
      <x:c r="L190" s="10" t="n"/>
      <x:c r="M190" s="10" t="n"/>
      <x:c r="N190" s="10" t="n"/>
    </x:row>
    <x:row r="191">
      <x:c r="A191" s="10" t="n"/>
      <x:c r="B191" s="10" t="n"/>
      <x:c r="C191" s="10" t="n"/>
      <x:c r="D191" s="10" t="n"/>
      <x:c r="E191" s="10" t="n"/>
      <x:c r="F191" s="11" t="n"/>
      <x:c r="G191" s="12" t="n"/>
      <x:c r="H191" s="11" t="n"/>
      <x:c r="I191" s="13" t="n"/>
      <x:c r="J191" s="13" t="n"/>
      <x:c r="K191" s="10" t="n"/>
      <x:c r="L191" s="10" t="n"/>
      <x:c r="M191" s="10" t="n"/>
      <x:c r="N191" s="10" t="n"/>
    </x:row>
    <x:row r="192">
      <x:c r="A192" s="10" t="n"/>
      <x:c r="B192" s="10" t="n"/>
      <x:c r="C192" s="10" t="n"/>
      <x:c r="D192" s="10" t="n"/>
      <x:c r="E192" s="10" t="n"/>
      <x:c r="F192" s="11" t="n"/>
      <x:c r="G192" s="12" t="n"/>
      <x:c r="H192" s="11" t="n"/>
      <x:c r="I192" s="13" t="n"/>
      <x:c r="J192" s="13" t="n"/>
      <x:c r="K192" s="10" t="n"/>
      <x:c r="L192" s="10" t="n"/>
      <x:c r="M192" s="10" t="n"/>
      <x:c r="N192" s="10" t="n"/>
    </x:row>
    <x:row r="193">
      <x:c r="A193" s="10" t="n"/>
      <x:c r="B193" s="10" t="n"/>
      <x:c r="C193" s="10" t="n"/>
      <x:c r="D193" s="10" t="n"/>
      <x:c r="E193" s="10" t="n"/>
      <x:c r="F193" s="11" t="n"/>
      <x:c r="G193" s="12" t="n"/>
      <x:c r="H193" s="11" t="n"/>
      <x:c r="I193" s="13" t="n"/>
      <x:c r="J193" s="13" t="n"/>
      <x:c r="K193" s="10" t="n"/>
      <x:c r="L193" s="10" t="n"/>
      <x:c r="M193" s="10" t="n"/>
      <x:c r="N193" s="10" t="n"/>
    </x:row>
    <x:row r="194">
      <x:c r="A194" s="10" t="n"/>
      <x:c r="B194" s="10" t="n"/>
      <x:c r="C194" s="10" t="n"/>
      <x:c r="D194" s="10" t="n"/>
      <x:c r="E194" s="10" t="n"/>
      <x:c r="F194" s="11" t="n"/>
      <x:c r="G194" s="12" t="n"/>
      <x:c r="H194" s="11" t="n"/>
      <x:c r="I194" s="13" t="n"/>
      <x:c r="J194" s="13" t="n"/>
      <x:c r="K194" s="10" t="n"/>
      <x:c r="L194" s="10" t="n"/>
      <x:c r="M194" s="10" t="n"/>
      <x:c r="N194" s="10" t="n"/>
    </x:row>
    <x:row r="195">
      <x:c r="A195" s="10" t="n"/>
      <x:c r="B195" s="10" t="n"/>
      <x:c r="C195" s="10" t="n"/>
      <x:c r="D195" s="10" t="n"/>
      <x:c r="E195" s="10" t="n"/>
      <x:c r="F195" s="11" t="n"/>
      <x:c r="G195" s="12" t="n"/>
      <x:c r="H195" s="11" t="n"/>
      <x:c r="I195" s="13" t="n"/>
      <x:c r="J195" s="13" t="n"/>
      <x:c r="K195" s="10" t="n"/>
      <x:c r="L195" s="10" t="n"/>
      <x:c r="M195" s="10" t="n"/>
      <x:c r="N195" s="10" t="n"/>
    </x:row>
    <x:row r="196">
      <x:c r="A196" s="10" t="n"/>
      <x:c r="B196" s="10" t="n"/>
      <x:c r="C196" s="10" t="n"/>
      <x:c r="D196" s="10" t="n"/>
      <x:c r="E196" s="10" t="n"/>
      <x:c r="F196" s="11" t="n"/>
      <x:c r="G196" s="12" t="n"/>
      <x:c r="H196" s="11" t="n"/>
      <x:c r="I196" s="13" t="n"/>
      <x:c r="J196" s="13" t="n"/>
      <x:c r="K196" s="10" t="n"/>
      <x:c r="L196" s="10" t="n"/>
      <x:c r="M196" s="10" t="n"/>
      <x:c r="N196" s="10" t="n"/>
    </x:row>
    <x:row r="197">
      <x:c r="A197" s="10" t="n"/>
      <x:c r="B197" s="10" t="n"/>
      <x:c r="C197" s="10" t="n"/>
      <x:c r="D197" s="10" t="n"/>
      <x:c r="E197" s="10" t="n"/>
      <x:c r="F197" s="11" t="n"/>
      <x:c r="G197" s="12" t="n"/>
      <x:c r="H197" s="11" t="n"/>
      <x:c r="I197" s="13" t="n"/>
      <x:c r="J197" s="13" t="n"/>
      <x:c r="K197" s="10" t="n"/>
      <x:c r="L197" s="10" t="n"/>
      <x:c r="M197" s="10" t="n"/>
      <x:c r="N197" s="10" t="n"/>
    </x:row>
    <x:row r="198">
      <x:c r="A198" s="10" t="n"/>
      <x:c r="B198" s="10" t="n"/>
      <x:c r="C198" s="10" t="n"/>
      <x:c r="D198" s="10" t="n"/>
      <x:c r="E198" s="10" t="n"/>
      <x:c r="F198" s="11" t="n"/>
      <x:c r="G198" s="12" t="n"/>
      <x:c r="H198" s="11" t="n"/>
      <x:c r="I198" s="13" t="n"/>
      <x:c r="J198" s="13" t="n"/>
      <x:c r="K198" s="10" t="n"/>
      <x:c r="L198" s="10" t="n"/>
      <x:c r="M198" s="10" t="n"/>
      <x:c r="N198" s="10" t="n"/>
    </x:row>
    <x:row r="199">
      <x:c r="A199" s="10" t="n"/>
      <x:c r="B199" s="10" t="n"/>
      <x:c r="C199" s="10" t="n"/>
      <x:c r="D199" s="10" t="n"/>
      <x:c r="E199" s="10" t="n"/>
      <x:c r="F199" s="11" t="n"/>
      <x:c r="G199" s="12" t="n"/>
      <x:c r="H199" s="11" t="n"/>
      <x:c r="I199" s="13" t="n"/>
      <x:c r="J199" s="13" t="n"/>
      <x:c r="K199" s="10" t="n"/>
      <x:c r="L199" s="10" t="n"/>
      <x:c r="M199" s="10" t="n"/>
      <x:c r="N199" s="10" t="n"/>
    </x:row>
    <x:row r="200">
      <x:c r="A200" s="10" t="n"/>
      <x:c r="B200" s="10" t="n"/>
      <x:c r="C200" s="10" t="n"/>
      <x:c r="D200" s="10" t="n"/>
      <x:c r="E200" s="10" t="n"/>
      <x:c r="F200" s="11" t="n"/>
      <x:c r="G200" s="12" t="n"/>
      <x:c r="H200" s="11" t="n"/>
      <x:c r="I200" s="13" t="n"/>
      <x:c r="J200" s="13" t="n"/>
      <x:c r="K200" s="10" t="n"/>
      <x:c r="L200" s="10" t="n"/>
      <x:c r="M200" s="10" t="n"/>
      <x:c r="N200" s="10" t="n"/>
    </x:row>
    <x:row r="201">
      <x:c r="A201" s="10" t="n"/>
      <x:c r="B201" s="10" t="n"/>
      <x:c r="C201" s="10" t="n"/>
      <x:c r="D201" s="10" t="n"/>
      <x:c r="E201" s="10" t="n"/>
      <x:c r="F201" s="11" t="n"/>
      <x:c r="G201" s="12" t="n"/>
      <x:c r="H201" s="11" t="n"/>
      <x:c r="I201" s="13" t="n"/>
      <x:c r="J201" s="13" t="n"/>
      <x:c r="K201" s="10" t="n"/>
      <x:c r="L201" s="10" t="n"/>
      <x:c r="M201" s="10" t="n"/>
      <x:c r="N201" s="10" t="n"/>
    </x:row>
    <x:row r="202">
      <x:c r="A202" s="10" t="n"/>
      <x:c r="B202" s="10" t="n"/>
      <x:c r="C202" s="10" t="n"/>
      <x:c r="D202" s="10" t="n"/>
      <x:c r="E202" s="10" t="n"/>
      <x:c r="F202" s="11" t="n"/>
      <x:c r="G202" s="12" t="n"/>
      <x:c r="H202" s="11" t="n"/>
      <x:c r="I202" s="13" t="n"/>
      <x:c r="J202" s="13" t="n"/>
      <x:c r="K202" s="10" t="n"/>
      <x:c r="L202" s="10" t="n"/>
      <x:c r="M202" s="10" t="n"/>
      <x:c r="N202" s="10" t="n"/>
    </x:row>
  </x:sheetData>
  <x:dataValidations count="4">
    <x:dataValidation type="list" allowBlank="1" showDropDown="0" showInputMessage="0" showErrorMessage="0" errorTitle="Ungültiger Wert" error="Bitte einen Wert aus der Liste wählen." sqref="D2:D202">
      <x:formula1>"Maschinenbau,Verpackungstechnik,Service,Immobilien,Nachhaltige Verpackungslösungen,Einweg-/Serviceprodukte,Sonstiges"</x:formula1>
    </x:dataValidation>
    <x:dataValidation type="list" allowBlank="1" showDropDown="0" showInputMessage="0" showErrorMessage="0" errorTitle="Ungültiger Wert" error="Bitte einen Wert aus der Liste wählen." sqref="E2:E202">
      <x:formula1>"Stück,Stunde,Tag,Monat,Pauschal,kg,m,m²"</x:formula1>
    </x:dataValidation>
    <x:dataValidation type="list" allowBlank="1" showDropDown="0" showInputMessage="0" showErrorMessage="0" errorTitle="Ungültiger Wert" error="Bitte einen Wert aus der Liste wählen." sqref="G2:G202">
      <x:formula1>"19,7,0"</x:formula1>
    </x:dataValidation>
    <x:dataValidation type="list" allowBlank="1" showDropDown="0" showInputMessage="0" showErrorMessage="0" errorTitle="Ungültiger Wert" error="Bitte einen Wert aus der Liste wählen." sqref="M2:M202">
      <x:formula1>"Aktiv,Inaktiv"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3" customHeight="1">
      <x:c r="A1" s="32" t="str">
        <x:v>LUAMO Trinkhalme – VK-Staffelpreise netto je Stück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8" customHeight="1">
      <x:c r="A2" s="34" t="str">
        <x:v>Verkaufspreise je Trinkhalm; Mengen jeweils in Stück. Leere Felder = kein VK vorgegeben.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4" ht="26" customHeight="1">
      <x:c r="A4" s="36" t="str">
        <x:v>Länge (cm)</x:v>
      </x:c>
      <x:c r="B4" s="36" t="str">
        <x:v>EK €/Stk</x:v>
      </x:c>
      <x:c r="C4" s="36" t="str">
        <x:v>300.000 Stk</x:v>
      </x:c>
      <x:c r="D4" s="36" t="str">
        <x:v>200.000 Stk</x:v>
      </x:c>
      <x:c r="E4" s="36" t="str">
        <x:v>100.000 Stk</x:v>
      </x:c>
      <x:c r="F4" s="36" t="str">
        <x:v>50.000 Stk</x:v>
      </x:c>
      <x:c r="G4" s="36" t="str">
        <x:v>10.000 Stk</x:v>
      </x:c>
      <x:c r="H4" s="36" t="str">
        <x:v>3.000 Stk</x:v>
      </x:c>
      <x:c r="I4" s="36" t="str">
        <x:v>1.000 Stk</x:v>
      </x:c>
      <x:c r="J4" s="36" t="str">
        <x:v>100 Stk</x:v>
      </x:c>
      <x:c r="K4" s="36" t="str">
        <x:v>50 Stk</x:v>
      </x:c>
    </x:row>
    <x:row r="5" ht="24" customHeight="1">
      <x:c r="A5" t="n">
        <x:v>15</x:v>
      </x:c>
      <x:c r="B5" s="30" t="n">
        <x:v>0.01298</x:v>
      </x:c>
      <x:c r="C5" s="30" t="n">
        <x:v>0.0182</x:v>
      </x:c>
      <x:c r="D5" s="30" t="n">
        <x:v>0.02</x:v>
      </x:c>
      <x:c r="E5" s="30" t="n">
        <x:v>0.022</x:v>
      </x:c>
      <x:c r="F5" s="30" t="n">
        <x:v>0.027</x:v>
      </x:c>
      <x:c r="G5" s="30" t="n">
        <x:v>0.03</x:v>
      </x:c>
      <x:c r="H5" s="30" t="n">
        <x:v>0.036</x:v>
      </x:c>
      <x:c r="I5" s="30" t="n">
        <x:v>0.049</x:v>
      </x:c>
      <x:c r="J5" s="30" t="n">
        <x:v>0.059</x:v>
      </x:c>
      <x:c r="K5" s="30"/>
    </x:row>
    <x:row r="6" ht="24" customHeight="1">
      <x:c r="A6" t="n">
        <x:v>20</x:v>
      </x:c>
      <x:c r="B6" s="30" t="n">
        <x:v>0.01386</x:v>
      </x:c>
      <x:c r="C6" s="30" t="n">
        <x:v>0.019</x:v>
      </x:c>
      <x:c r="D6" s="30" t="n">
        <x:v>0.021</x:v>
      </x:c>
      <x:c r="E6" s="30" t="n">
        <x:v>0.023</x:v>
      </x:c>
      <x:c r="F6" s="30" t="n">
        <x:v>0.028</x:v>
      </x:c>
      <x:c r="G6" s="30" t="n">
        <x:v>0.031</x:v>
      </x:c>
      <x:c r="H6" s="30" t="n">
        <x:v>0.039</x:v>
      </x:c>
      <x:c r="I6" s="30" t="n">
        <x:v>0.059</x:v>
      </x:c>
      <x:c r="J6" s="30" t="n">
        <x:v>0.069</x:v>
      </x:c>
      <x:c r="K6" s="30"/>
    </x:row>
    <x:row r="7" ht="24" customHeight="1">
      <x:c r="A7" t="n">
        <x:v>23</x:v>
      </x:c>
      <x:c r="B7" s="30" t="n">
        <x:v>0.0143</x:v>
      </x:c>
      <x:c r="C7" s="30" t="n">
        <x:v>0.02</x:v>
      </x:c>
      <x:c r="D7" s="30" t="n">
        <x:v>0.022</x:v>
      </x:c>
      <x:c r="E7" s="30" t="n">
        <x:v>0.024</x:v>
      </x:c>
      <x:c r="F7" s="30" t="n">
        <x:v>0.029</x:v>
      </x:c>
      <x:c r="G7" s="30" t="n">
        <x:v>0.032</x:v>
      </x:c>
      <x:c r="H7" s="30" t="n">
        <x:v>0.043</x:v>
      </x:c>
      <x:c r="I7" s="30" t="n">
        <x:v>0.069</x:v>
      </x:c>
      <x:c r="J7" s="30"/>
      <x:c r="K7" s="30"/>
    </x:row>
    <x:row r="8" ht="24" customHeight="1">
      <x:c r="A8" t="n">
        <x:v>25</x:v>
      </x:c>
      <x:c r="B8" s="30" t="n">
        <x:v>0.01756</x:v>
      </x:c>
      <x:c r="C8" s="30" t="n">
        <x:v>0.025</x:v>
      </x:c>
      <x:c r="D8" s="30" t="n">
        <x:v>0.027</x:v>
      </x:c>
      <x:c r="E8" s="30" t="n">
        <x:v>0.03</x:v>
      </x:c>
      <x:c r="F8" s="30" t="n">
        <x:v>0.036</x:v>
      </x:c>
      <x:c r="G8" s="30" t="n">
        <x:v>0.039</x:v>
      </x:c>
      <x:c r="H8" s="30" t="n">
        <x:v>0.049</x:v>
      </x:c>
      <x:c r="I8" s="30" t="n">
        <x:v>0.075</x:v>
      </x:c>
      <x:c r="J8" s="30"/>
      <x:c r="K8" s="30"/>
    </x:row>
    <x:row r="9" ht="24" customHeight="1">
      <x:c r="A9" t="n">
        <x:v>30</x:v>
      </x:c>
      <x:c r="B9" s="30" t="n">
        <x:v>0.01867</x:v>
      </x:c>
      <x:c r="C9" s="30" t="n">
        <x:v>0.026</x:v>
      </x:c>
      <x:c r="D9" s="30" t="n">
        <x:v>0.028</x:v>
      </x:c>
      <x:c r="E9" s="30" t="n">
        <x:v>0.031</x:v>
      </x:c>
      <x:c r="F9" s="30" t="n">
        <x:v>0.037</x:v>
      </x:c>
      <x:c r="G9" s="30" t="n">
        <x:v>0.041</x:v>
      </x:c>
      <x:c r="H9" s="30" t="n">
        <x:v>0.055</x:v>
      </x:c>
      <x:c r="I9" s="30" t="n">
        <x:v>0.079</x:v>
      </x:c>
      <x:c r="J9" s="30"/>
      <x:c r="K9" s="30"/>
    </x:row>
    <x:row r="11" ht="32" customHeight="1">
      <x:c r="A11" s="37" t="str">
        <x:v>Hinweis: VK je Stück, Verpackungseinheit der Artikel bleibt 50 / 100 / 500 Stück. Verkaufspreis ohne festgelegte Menge nicht in Spalte F der Artikelliste eingetragen.</x:v>
      </x:c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</x:row>
    <x:row r="12">
      <x:c r="A12" t="str">
        <x:v>15 cm, VK 1 (300.000 Stück): 0,01820 € netto/Stück gilt speziell für den 500er-Schlauchbeutel; VK 1 der 100er-Variante bleibt 0,01900 € netto/Stück.</x:v>
      </x:c>
    </x:row>
  </x:sheetData>
  <x:mergeCells>
    <x:mergeCell ref="A1:K1"/>
    <x:mergeCell ref="A2:K2"/>
    <x:mergeCell ref="A11:K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t="str">
        <x:v>LUAMO BESTECK – VK-STAFFELN &amp; MARGEN</x:v>
      </x:c>
      <x:c r="B1"/>
      <x:c r="C1"/>
      <x:c r="D1"/>
      <x:c r="E1"/>
      <x:c r="F1"/>
      <x:c r="G1"/>
      <x:c r="H1"/>
    </x:row>
    <x:row r="3" ht="32" customHeight="1">
      <x:c r="A3" s="44" t="str">
        <x:v>VK-Gruppe</x:v>
      </x:c>
      <x:c r="B3" s="44" t="str">
        <x:v>Großbest. ab Stk</x:v>
      </x:c>
      <x:c r="C3" s="44" t="str">
        <x:v>Großbest. VK €/Stk</x:v>
      </x:c>
      <x:c r="D3" s="44" t="str">
        <x:v>Großbest. EK €/Stk</x:v>
      </x:c>
      <x:c r="E3" s="44" t="str">
        <x:v>Großbest. Marge</x:v>
      </x:c>
      <x:c r="F3" s="44" t="str">
        <x:v>Kleinbest. ab Stk</x:v>
      </x:c>
      <x:c r="G3" s="44" t="str">
        <x:v>Kleinbest. VK €/Stk</x:v>
      </x:c>
      <x:c r="H3" s="44" t="str">
        <x:v>Kleinbest. Marge</x:v>
      </x:c>
    </x:row>
    <x:row r="4">
      <x:c r="A4" t="str">
        <x:v>VK 1</x:v>
      </x:c>
      <x:c r="B4" t="n">
        <x:v>300000</x:v>
      </x:c>
      <x:c r="C4" s="38" t="n">
        <x:v>0.0995</x:v>
      </x:c>
      <x:c r="D4" s="38" t="n">
        <x:v>0.08264</x:v>
      </x:c>
      <x:c r="E4" s="39" t="n">
        <x:f>(C4-D4)/C4</x:f>
        <x:v>0.16944723618090451</x:v>
      </x:c>
      <x:c r="F4" t="n">
        <x:v>300000</x:v>
      </x:c>
      <x:c r="G4" s="38" t="n">
        <x:v>0.03951</x:v>
      </x:c>
      <x:c r="H4" s="39" t="n">
        <x:f>(G4-0.02532)/G4</x:f>
        <x:v>0.35914958238420663</x:v>
      </x:c>
    </x:row>
    <x:row r="5">
      <x:c r="A5" t="str">
        <x:v>VK 2</x:v>
      </x:c>
      <x:c r="B5" t="n">
        <x:v>200100</x:v>
      </x:c>
      <x:c r="C5" s="38" t="n">
        <x:v>0.104</x:v>
      </x:c>
      <x:c r="D5" s="38" t="n">
        <x:v>0.08264</x:v>
      </x:c>
      <x:c r="E5" s="39" t="n">
        <x:f>(C5-D5)/C5</x:f>
        <x:v>0.2053846153846153</x:v>
      </x:c>
      <x:c r="F5" t="n">
        <x:v>200000</x:v>
      </x:c>
      <x:c r="G5" s="38" t="n">
        <x:v>0.0405</x:v>
      </x:c>
      <x:c r="H5" s="39" t="n">
        <x:f>(G5-0.02532)/G5</x:f>
        <x:v>0.3748148148148149</x:v>
      </x:c>
    </x:row>
    <x:row r="6">
      <x:c r="A6" t="str">
        <x:v>VK 3</x:v>
      </x:c>
      <x:c r="B6" t="n">
        <x:v>100050</x:v>
      </x:c>
      <x:c r="C6" s="38" t="n">
        <x:v>0.11</x:v>
      </x:c>
      <x:c r="D6" s="38" t="n">
        <x:v>0.08264</x:v>
      </x:c>
      <x:c r="E6" s="39" t="n">
        <x:f>(C6-D6)/C6</x:f>
        <x:v>0.24872727272727269</x:v>
      </x:c>
      <x:c r="F6" t="n">
        <x:v>100000</x:v>
      </x:c>
      <x:c r="G6" s="38" t="n">
        <x:v>0.042</x:v>
      </x:c>
      <x:c r="H6" s="39" t="n">
        <x:f>(G6-0.02532)/G6</x:f>
        <x:v>0.3971428571428572</x:v>
      </x:c>
    </x:row>
    <x:row r="7">
      <x:c r="A7" t="str">
        <x:v>VK 4</x:v>
      </x:c>
      <x:c r="B7" t="n">
        <x:v>50100</x:v>
      </x:c>
      <x:c r="C7" s="38" t="n">
        <x:v>0.115</x:v>
      </x:c>
      <x:c r="D7" s="38" t="n">
        <x:v>0.08264</x:v>
      </x:c>
      <x:c r="E7" s="39" t="n">
        <x:f>(C7-D7)/C7</x:f>
        <x:v>0.28139130434782605</x:v>
      </x:c>
      <x:c r="F7" t="n">
        <x:v>50000</x:v>
      </x:c>
      <x:c r="G7" s="38" t="n">
        <x:v>0.0435</x:v>
      </x:c>
      <x:c r="H7" s="39" t="n">
        <x:f>(G7-0.02532)/G7</x:f>
        <x:v>0.4179310344827586</x:v>
      </x:c>
    </x:row>
    <x:row r="8">
      <x:c r="A8" t="str">
        <x:v>VK 5</x:v>
      </x:c>
      <x:c r="B8" t="n">
        <x:v>10050</x:v>
      </x:c>
      <x:c r="C8" s="38" t="n">
        <x:v>0.125</x:v>
      </x:c>
      <x:c r="D8" s="38" t="n">
        <x:v>0.08264</x:v>
      </x:c>
      <x:c r="E8" s="39" t="n">
        <x:f>(C8-D8)/C8</x:f>
        <x:v>0.33887999999999996</x:v>
      </x:c>
      <x:c r="F8" t="n">
        <x:v>10000</x:v>
      </x:c>
      <x:c r="G8" s="38" t="n">
        <x:v>0.045</x:v>
      </x:c>
      <x:c r="H8" s="39" t="n">
        <x:f>(G8-0.02532)/G8</x:f>
        <x:v>0.43733333333333335</x:v>
      </x:c>
    </x:row>
    <x:row r="9">
      <x:c r="A9" t="str">
        <x:v>VK 6</x:v>
      </x:c>
      <x:c r="B9" t="n">
        <x:v>3000</x:v>
      </x:c>
      <x:c r="C9" s="38" t="n">
        <x:v>0.13</x:v>
      </x:c>
      <x:c r="D9" s="38" t="n">
        <x:v>0.08264</x:v>
      </x:c>
      <x:c r="E9" s="39" t="n">
        <x:f>(C9-D9)/C9</x:f>
        <x:v>0.3643076923076923</x:v>
      </x:c>
      <x:c r="F9" t="n">
        <x:v>3000</x:v>
      </x:c>
      <x:c r="G9" s="38" t="n">
        <x:v>0.047</x:v>
      </x:c>
      <x:c r="H9" s="39" t="n">
        <x:f>(G9-0.02532)/G9</x:f>
        <x:v>0.4612765957446809</x:v>
      </x:c>
    </x:row>
    <x:row r="10">
      <x:c r="A10" t="str">
        <x:v>VK 7</x:v>
      </x:c>
      <x:c r="B10" t="n">
        <x:v>1050</x:v>
      </x:c>
      <x:c r="C10" s="38" t="n">
        <x:v>0.135</x:v>
      </x:c>
      <x:c r="D10" s="38" t="n">
        <x:v>0.08264</x:v>
      </x:c>
      <x:c r="E10" s="39" t="n">
        <x:f>(C10-D10)/C10</x:f>
        <x:v>0.38785185185185184</x:v>
      </x:c>
      <x:c r="F10" t="n">
        <x:v>1000</x:v>
      </x:c>
      <x:c r="G10" s="38" t="n">
        <x:v>0.049</x:v>
      </x:c>
      <x:c r="H10" s="39" t="n">
        <x:f>(G10-0.02532)/G10</x:f>
        <x:v>0.483265306122449</x:v>
      </x:c>
    </x:row>
    <x:row r="11">
      <x:c r="A11" t="str">
        <x:v>VK 8</x:v>
      </x:c>
      <x:c r="B11" t="n">
        <x:v>150</x:v>
      </x:c>
      <x:c r="C11" s="38" t="n">
        <x:v>0.139</x:v>
      </x:c>
      <x:c r="D11" s="38" t="n">
        <x:v>0.08264</x:v>
      </x:c>
      <x:c r="E11" s="39" t="n">
        <x:f>(C11-D11)/C11</x:f>
        <x:v>0.4054676258992806</x:v>
      </x:c>
      <x:c r="F11" t="n">
        <x:v>500</x:v>
      </x:c>
      <x:c r="G11" s="38" t="n">
        <x:v>0.052</x:v>
      </x:c>
      <x:c r="H11" s="39" t="n">
        <x:f>(G11-0.02532)/G11</x:f>
        <x:v>0.5130769230769231</x:v>
      </x:c>
    </x:row>
    <x:row r="14">
      <x:c r="A14" t="str">
        <x:v>VK 1 Großbesteck = bestätigt; VK 2–5 = Vorschläge; VK 6–8 = letzter Arbeitsstand.</x:v>
      </x:c>
    </x:row>
    <x:row r="15">
      <x:c r="A15" t="str">
        <x:v>Kleinbesteck VK 1 Pommespicker bestätigt; Eislöffel gleicher EK gemäß Angabe; VK 2–8 Vorschläge.</x:v>
      </x:c>
    </x:row>
    <x:row r="16">
      <x:c r="A16" t="str">
        <x:v>Großbesteck Mix: mögliche Zusatzkosten für Banderolierung noch nicht enthalten.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t="str">
        <x:v>LUAMO – SHOP / AMAZON VERKAUFSPREISE UND ROHERTRAG</x:v>
      </x:c>
      <x:c r="B1"/>
      <x:c r="C1"/>
      <x:c r="D1"/>
      <x:c r="E1"/>
      <x:c r="F1"/>
      <x:c r="G1"/>
      <x:c r="H1"/>
      <x:c r="I1"/>
    </x:row>
    <x:row r="3" ht="32" customHeight="1">
      <x:c r="A3" s="44" t="str">
        <x:v>Artikel</x:v>
      </x:c>
      <x:c r="B3" s="44" t="str">
        <x:v>VE Stk</x:v>
      </x:c>
      <x:c r="C3" s="44" t="str">
        <x:v>EK €/Stk</x:v>
      </x:c>
      <x:c r="D3" s="44" t="str">
        <x:v>Shop brutto/Karton</x:v>
      </x:c>
      <x:c r="E3" s="44" t="str">
        <x:v>Shop Marge</x:v>
      </x:c>
      <x:c r="F3" s="44" t="str">
        <x:v>Amazon VK brutto</x:v>
      </x:c>
      <x:c r="G3" s="44" t="str">
        <x:v>Amazon Marge</x:v>
      </x:c>
      <x:c r="H3" s="44" t="str">
        <x:v>Amazon DB Modell</x:v>
      </x:c>
      <x:c r="I3" s="44" t="str">
        <x:v>Status</x:v>
      </x:c>
    </x:row>
    <x:row r="4">
      <x:c r="A4" t="str">
        <x:v>LUAMO Gabel – 150er-Karton</x:v>
      </x:c>
      <x:c r="B4" t="n">
        <x:v>150</x:v>
      </x:c>
      <x:c r="C4" s="38" t="n">
        <x:v>0.08264</x:v>
      </x:c>
      <x:c r="D4" t="n">
        <x:v>24.9</x:v>
      </x:c>
      <x:c r="E4" s="39" t="n">
        <x:f>(D4/1.19-B4*C4)/(D4/1.19)</x:f>
        <x:v>0.4075807228915662</x:v>
      </x:c>
      <x:c r="F4" t="n">
        <x:v>39.9</x:v>
      </x:c>
      <x:c r="G4" s="39" t="n">
        <x:f>(F4/1.19-B4*C4)/(F4/1.19)</x:f>
        <x:v>0.6302947368421052</x:v>
      </x:c>
      <x:c r="H4" t="n">
        <x:f>F4/1.19-B4*C4-F4*15%-F4*8%-5.5-0.5</x:f>
        <x:v>5.956411764705884</x:v>
      </x:c>
      <x:c r="I4" t="str">
        <x:v>Amazon: Modellgebühren, FBA offen</x:v>
      </x:c>
    </x:row>
    <x:row r="5">
      <x:c r="A5" t="str">
        <x:v>LUAMO Löffel – 150er-Karton</x:v>
      </x:c>
      <x:c r="B5" t="n">
        <x:v>150</x:v>
      </x:c>
      <x:c r="C5" s="38" t="n">
        <x:v>0.08264</x:v>
      </x:c>
      <x:c r="D5" t="n">
        <x:v>24.9</x:v>
      </x:c>
      <x:c r="E5" s="39" t="n">
        <x:f>(D5/1.19-B5*C5)/(D5/1.19)</x:f>
        <x:v>0.4075807228915662</x:v>
      </x:c>
      <x:c r="F5" t="n">
        <x:v>39.9</x:v>
      </x:c>
      <x:c r="G5" s="39" t="n">
        <x:f>(F5/1.19-B5*C5)/(F5/1.19)</x:f>
        <x:v>0.6302947368421052</x:v>
      </x:c>
      <x:c r="H5" t="n">
        <x:f>F5/1.19-B5*C5-F5*15%-F5*8%-5.5-0.5</x:f>
        <x:v>5.956411764705884</x:v>
      </x:c>
      <x:c r="I5" t="str">
        <x:v>Amazon: Modellgebühren, FBA offen</x:v>
      </x:c>
    </x:row>
    <x:row r="6">
      <x:c r="A6" t="str">
        <x:v>LUAMO Messer – 150er-Karton</x:v>
      </x:c>
      <x:c r="B6" t="n">
        <x:v>150</x:v>
      </x:c>
      <x:c r="C6" s="38" t="n">
        <x:v>0.08264</x:v>
      </x:c>
      <x:c r="D6" t="n">
        <x:v>24.9</x:v>
      </x:c>
      <x:c r="E6" s="39" t="n">
        <x:f>(D6/1.19-B6*C6)/(D6/1.19)</x:f>
        <x:v>0.4075807228915662</x:v>
      </x:c>
      <x:c r="F6" t="n">
        <x:v>39.9</x:v>
      </x:c>
      <x:c r="G6" s="39" t="n">
        <x:f>(F6/1.19-B6*C6)/(F6/1.19)</x:f>
        <x:v>0.6302947368421052</x:v>
      </x:c>
      <x:c r="H6" t="n">
        <x:f>F6/1.19-B6*C6-F6*15%-F6*8%-5.5-0.5</x:f>
        <x:v>5.956411764705884</x:v>
      </x:c>
      <x:c r="I6" t="str">
        <x:v>Amazon: Modellgebühren, FBA offen</x:v>
      </x:c>
    </x:row>
    <x:row r="7">
      <x:c r="A7" t="str">
        <x:v>LUAMO Großbesteck Mix – 150er-Karton</x:v>
      </x:c>
      <x:c r="B7" t="n">
        <x:v>150</x:v>
      </x:c>
      <x:c r="C7" s="38" t="n">
        <x:v>0.08264</x:v>
      </x:c>
      <x:c r="D7" t="n">
        <x:v>24.9</x:v>
      </x:c>
      <x:c r="E7" s="39" t="n">
        <x:f>(D7/1.19-B7*C7)/(D7/1.19)</x:f>
        <x:v>0.4075807228915662</x:v>
      </x:c>
      <x:c r="F7" t="n">
        <x:v>39.9</x:v>
      </x:c>
      <x:c r="G7" s="39" t="n">
        <x:f>(F7/1.19-B7*C7)/(F7/1.19)</x:f>
        <x:v>0.6302947368421052</x:v>
      </x:c>
      <x:c r="H7" t="n">
        <x:f>F7/1.19-B7*C7-F7*15%-F7*8%-5.5-0.5</x:f>
        <x:v>5.956411764705884</x:v>
      </x:c>
      <x:c r="I7" t="str">
        <x:v>Amazon: Modellgebühren, FBA offen</x:v>
      </x:c>
    </x:row>
    <x:row r="8">
      <x:c r="A8" t="str">
        <x:v>LUAMO Eislöffel – 500er-Karton</x:v>
      </x:c>
      <x:c r="B8" t="n">
        <x:v>500</x:v>
      </x:c>
      <x:c r="C8" s="38" t="n">
        <x:v>0.02532</x:v>
      </x:c>
      <x:c r="D8" t="n">
        <x:v>39.9</x:v>
      </x:c>
      <x:c r="E8" s="39" t="n">
        <x:f>(D8/1.19-B8*C8)/(D8/1.19)</x:f>
        <x:v>0.622421052631579</x:v>
      </x:c>
      <x:c r="F8" t="n">
        <x:v>44.9</x:v>
      </x:c>
      <x:c r="G8" s="39" t="n">
        <x:f>(F8/1.19-B8*C8)/(F8/1.19)</x:f>
        <x:v>0.664467706013363</x:v>
      </x:c>
      <x:c r="H8" t="n">
        <x:f>F8/1.19-B8*C8-F8*15%-F8*8%-5.5-0.5</x:f>
        <x:v>8.74409243697479</x:v>
      </x:c>
      <x:c r="I8" t="str">
        <x:v>Amazon: Modellgebühren, FBA offen</x:v>
      </x:c>
    </x:row>
    <x:row r="9">
      <x:c r="A9" t="str">
        <x:v>LUAMO Pommespicker – 500er-Karton</x:v>
      </x:c>
      <x:c r="B9" t="n">
        <x:v>500</x:v>
      </x:c>
      <x:c r="C9" s="38" t="n">
        <x:v>0.02532</x:v>
      </x:c>
      <x:c r="D9" t="n">
        <x:v>34.9</x:v>
      </x:c>
      <x:c r="E9" s="39" t="n">
        <x:f>(D9/1.19-B9*C9)/(D9/1.19)</x:f>
        <x:v>0.5683266475644699</x:v>
      </x:c>
      <x:c r="F9" t="n">
        <x:v>44.9</x:v>
      </x:c>
      <x:c r="G9" s="39" t="n">
        <x:f>(F9/1.19-B9*C9)/(F9/1.19)</x:f>
        <x:v>0.664467706013363</x:v>
      </x:c>
      <x:c r="H9" t="n">
        <x:f>F9/1.19-B9*C9-F9*15%-F9*8%-5.5-0.5</x:f>
        <x:v>8.74409243697479</x:v>
      </x:c>
      <x:c r="I9" t="str">
        <x:v>Amazon: Modellgebühren, FBA offen</x:v>
      </x:c>
    </x:row>
    <x:row r="11">
      <x:c r="A11" t="str">
        <x:v>Amazon DB Modell: Provision 15%, Werbung 8% vom Brutto-VK, Logistik 5,50 € netto, Sonstiges 0,50 € netto.</x:v>
      </x:c>
    </x:row>
    <x:row r="12">
      <x:c r="A12" t="str">
        <x:v>Shop: Bruttopreise zzgl. 5,90 € Versand; versandkostenfrei ab 75 € Warenwert (vorläufig).</x:v>
      </x:c>
    </x:row>
    <x:row r="13">
      <x:c r="A13" t="str">
        <x:v>Shop-Trinkhalm VK und Amazon-Trinkhalm VK fehlen; nicht frei erfunden.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7" hidden="0" customWidth="1"/>
    <x:col min="3" max="3" width="54" hidden="0" customWidth="1"/>
    <x:col min="4" max="4" width="23" hidden="0" customWidth="1"/>
    <x:col min="5" max="5" width="13" hidden="0" customWidth="1"/>
    <x:col min="6" max="6" width="20" hidden="0" customWidth="1"/>
    <x:col min="7" max="7" width="17" hidden="0" customWidth="1"/>
    <x:col min="8" max="8" width="24" hidden="0" customWidth="1"/>
    <x:col min="9" max="9" width="25" hidden="0" customWidth="1"/>
    <x:col min="10" max="10" width="20" hidden="0" customWidth="1"/>
    <x:col min="11" max="11" width="56" hidden="0" customWidth="1"/>
    <x:col min="12" max="12" width="21" hidden="0" customWidth="1"/>
    <x:col min="13" max="13" width="26" hidden="0" customWidth="1"/>
  </x:cols>
  <x:sheetData>
    <x:row r="1" ht="36" customHeight="1">
      <x:c r="A1" s="49" t="str">
        <x:v>LUAMO | Kundenartikelliste | 32 Sprach- und Druckvarianten | 14.10.2026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</x:row>
    <x:row r="2">
      <x:c r="A2" t="str">
        <x:v>Je Basisartikel eine DE- und EN-Variante; Variant-SKUs als Vorschlag. GTIN nur nach Prüfung der GS1-Regeln vergeben.</x:v>
      </x:c>
      <x:c r="B2"/>
      <x:c r="C2"/>
      <x:c r="D2"/>
      <x:c r="E2"/>
      <x:c r="F2"/>
      <x:c r="G2"/>
      <x:c r="H2"/>
      <x:c r="I2"/>
      <x:c r="J2"/>
      <x:c r="K2"/>
    </x:row>
    <x:row r="4" ht="34" customHeight="1">
      <x:c r="A4" s="64" t="str">
        <x:v>Nr.</x:v>
      </x:c>
      <x:c r="B4" s="64" t="str">
        <x:v>Artikelnummer / Varianten-SKU</x:v>
      </x:c>
      <x:c r="C4" s="64" t="str">
        <x:v>Artikelbezeichnung</x:v>
      </x:c>
      <x:c r="D4" s="64" t="str">
        <x:v>Serie</x:v>
      </x:c>
      <x:c r="E4" s="64" t="str">
        <x:v>Packmenge</x:v>
      </x:c>
      <x:c r="F4" s="64" t="str">
        <x:v>Verpackung</x:v>
      </x:c>
      <x:c r="G4" s="64" t="str">
        <x:v>Drucksprache</x:v>
      </x:c>
      <x:c r="H4" s="64" t="str">
        <x:v>Shop VK brutto/Karton</x:v>
      </x:c>
      <x:c r="I4" s="64" t="str">
        <x:v>Amazon VK brutto/Karton</x:v>
      </x:c>
      <x:c r="J4" s="64" t="str">
        <x:v>Muster-VK netto</x:v>
      </x:c>
      <x:c r="K4" s="64" t="str">
        <x:v>Status / Hinweis</x:v>
      </x:c>
      <x:c r="L4" s="64" t="str">
        <x:v>GTIN Verkauf (offen)</x:v>
      </x:c>
      <x:c r="M4" s="64" t="str">
        <x:v>Basis-SKU</x:v>
      </x:c>
    </x:row>
    <x:row r="5" ht="27" customHeight="1">
      <x:c r="A5" s="37" t="n">
        <x:v>1</x:v>
      </x:c>
      <x:c r="B5" s="37" t="str">
        <x:v>LUA-SW-15-500-DE</x:v>
      </x:c>
      <x:c r="C5" s="37" t="str">
        <x:v>LUAMO Trinkhalm schwarz 15 cm, 500 Stück/Schlauchbeutel</x:v>
      </x:c>
      <x:c r="D5" s="37" t="str">
        <x:v>Einweg-/Serviceprodukte</x:v>
      </x:c>
      <x:c r="E5" s="37" t="n">
        <x:v>500</x:v>
      </x:c>
      <x:c r="F5" s="37" t="str">
        <x:v>Schlauchbeutel</x:v>
      </x:c>
      <x:c r="G5" s="37" t="str">
        <x:v>DE</x:v>
      </x:c>
      <x:c r="H5" s="67"/>
      <x:c r="I5" s="67"/>
      <x:c r="J5" s="67"/>
      <x:c r="K5" s="37" t="str">
        <x:v>Sonderpreis ab 300.000 Stück: 0,01820 € netto/Stück</x:v>
      </x:c>
      <x:c r="L5" s="37" t="str"/>
      <x:c r="M5" s="37" t="str">
        <x:v>LUA-SW-15-500</x:v>
      </x:c>
    </x:row>
    <x:row r="6" ht="27" customHeight="1">
      <x:c r="A6" s="37" t="n">
        <x:v>2</x:v>
      </x:c>
      <x:c r="B6" s="37" t="str">
        <x:v>LUA-SW-15-500-EN</x:v>
      </x:c>
      <x:c r="C6" s="37" t="str">
        <x:v>LUAMO Black Straw 15 cm, 500 pcs/sleeve</x:v>
      </x:c>
      <x:c r="D6" s="37" t="str">
        <x:v>Einweg-/Serviceprodukte</x:v>
      </x:c>
      <x:c r="E6" s="37" t="n">
        <x:v>500</x:v>
      </x:c>
      <x:c r="F6" s="37" t="str">
        <x:v>Schlauchbeutel</x:v>
      </x:c>
      <x:c r="G6" s="37" t="str">
        <x:v>EN</x:v>
      </x:c>
      <x:c r="H6" s="67"/>
      <x:c r="I6" s="67"/>
      <x:c r="J6" s="67"/>
      <x:c r="K6" s="37" t="str">
        <x:v>Sonderpreis ab 300.000 Stück: 0,01820 € netto/Stück</x:v>
      </x:c>
      <x:c r="L6" s="37" t="str"/>
      <x:c r="M6" s="37" t="str">
        <x:v>LUA-SW-15-500</x:v>
      </x:c>
    </x:row>
    <x:row r="7" ht="27" customHeight="1">
      <x:c r="A7" s="37" t="n">
        <x:v>3</x:v>
      </x:c>
      <x:c r="B7" s="37" t="str">
        <x:v>LUA-SW-20-500-DE</x:v>
      </x:c>
      <x:c r="C7" s="37" t="str">
        <x:v>LUAMO Trinkhalm schwarz 20 cm, 500 Stück/Schlauchbeutel</x:v>
      </x:c>
      <x:c r="D7" s="37" t="str">
        <x:v>Einweg-/Serviceprodukte</x:v>
      </x:c>
      <x:c r="E7" s="37" t="n">
        <x:v>500</x:v>
      </x:c>
      <x:c r="F7" s="37" t="str">
        <x:v>Schlauchbeutel</x:v>
      </x:c>
      <x:c r="G7" s="37" t="str">
        <x:v>DE</x:v>
      </x:c>
      <x:c r="H7" s="67"/>
      <x:c r="I7" s="67"/>
      <x:c r="J7" s="67"/>
      <x:c r="K7" s="37" t="str">
        <x:v>VK über B2B-Stückstaffeln; Shop/Amazon noch offen</x:v>
      </x:c>
      <x:c r="L7" s="37" t="str"/>
      <x:c r="M7" s="37" t="str">
        <x:v>LUA-SW-20-500</x:v>
      </x:c>
    </x:row>
    <x:row r="8" ht="27" customHeight="1">
      <x:c r="A8" s="37" t="n">
        <x:v>4</x:v>
      </x:c>
      <x:c r="B8" s="37" t="str">
        <x:v>LUA-SW-20-500-EN</x:v>
      </x:c>
      <x:c r="C8" s="37" t="str">
        <x:v>LUAMO Black Straw 20 cm, 500 pcs/sleeve</x:v>
      </x:c>
      <x:c r="D8" s="37" t="str">
        <x:v>Einweg-/Serviceprodukte</x:v>
      </x:c>
      <x:c r="E8" s="37" t="n">
        <x:v>500</x:v>
      </x:c>
      <x:c r="F8" s="37" t="str">
        <x:v>Schlauchbeutel</x:v>
      </x:c>
      <x:c r="G8" s="37" t="str">
        <x:v>EN</x:v>
      </x:c>
      <x:c r="H8" s="67"/>
      <x:c r="I8" s="67"/>
      <x:c r="J8" s="67"/>
      <x:c r="K8" s="37" t="str">
        <x:v>VK über B2B-Stückstaffeln; Shop/Amazon noch offen</x:v>
      </x:c>
      <x:c r="L8" s="37" t="str"/>
      <x:c r="M8" s="37" t="str">
        <x:v>LUA-SW-20-500</x:v>
      </x:c>
    </x:row>
    <x:row r="9" ht="27" customHeight="1">
      <x:c r="A9" s="37" t="n">
        <x:v>5</x:v>
      </x:c>
      <x:c r="B9" s="37" t="str">
        <x:v>LUA-SW-23-500-DE</x:v>
      </x:c>
      <x:c r="C9" s="37" t="str">
        <x:v>LUAMO Trinkhalm schwarz 23 cm, 500 Stück/Schlauchbeutel</x:v>
      </x:c>
      <x:c r="D9" s="37" t="str">
        <x:v>Einweg-/Serviceprodukte</x:v>
      </x:c>
      <x:c r="E9" s="37" t="n">
        <x:v>500</x:v>
      </x:c>
      <x:c r="F9" s="37" t="str">
        <x:v>Schlauchbeutel</x:v>
      </x:c>
      <x:c r="G9" s="37" t="str">
        <x:v>DE</x:v>
      </x:c>
      <x:c r="H9" s="67"/>
      <x:c r="I9" s="67"/>
      <x:c r="J9" s="67"/>
      <x:c r="K9" s="37" t="str">
        <x:v>VK über B2B-Stückstaffeln; Shop/Amazon noch offen</x:v>
      </x:c>
      <x:c r="L9" s="37" t="str"/>
      <x:c r="M9" s="37" t="str">
        <x:v>LUA-SW-23-500</x:v>
      </x:c>
    </x:row>
    <x:row r="10" ht="27" customHeight="1">
      <x:c r="A10" s="37" t="n">
        <x:v>6</x:v>
      </x:c>
      <x:c r="B10" s="37" t="str">
        <x:v>LUA-SW-23-500-EN</x:v>
      </x:c>
      <x:c r="C10" s="37" t="str">
        <x:v>LUAMO Black Straw 23 cm, 500 pcs/sleeve</x:v>
      </x:c>
      <x:c r="D10" s="37" t="str">
        <x:v>Einweg-/Serviceprodukte</x:v>
      </x:c>
      <x:c r="E10" s="37" t="n">
        <x:v>500</x:v>
      </x:c>
      <x:c r="F10" s="37" t="str">
        <x:v>Schlauchbeutel</x:v>
      </x:c>
      <x:c r="G10" s="37" t="str">
        <x:v>EN</x:v>
      </x:c>
      <x:c r="H10" s="67"/>
      <x:c r="I10" s="67"/>
      <x:c r="J10" s="67"/>
      <x:c r="K10" s="37" t="str">
        <x:v>VK über B2B-Stückstaffeln; Shop/Amazon noch offen</x:v>
      </x:c>
      <x:c r="L10" s="37" t="str"/>
      <x:c r="M10" s="37" t="str">
        <x:v>LUA-SW-23-500</x:v>
      </x:c>
    </x:row>
    <x:row r="11" ht="27" customHeight="1">
      <x:c r="A11" s="37" t="n">
        <x:v>7</x:v>
      </x:c>
      <x:c r="B11" s="37" t="str">
        <x:v>LUA-SW-25-500-DE</x:v>
      </x:c>
      <x:c r="C11" s="37" t="str">
        <x:v>LUAMO Trinkhalm schwarz 25 cm, 500 Stück/Schlauchbeutel</x:v>
      </x:c>
      <x:c r="D11" s="37" t="str">
        <x:v>Einweg-/Serviceprodukte</x:v>
      </x:c>
      <x:c r="E11" s="37" t="n">
        <x:v>500</x:v>
      </x:c>
      <x:c r="F11" s="37" t="str">
        <x:v>Schlauchbeutel</x:v>
      </x:c>
      <x:c r="G11" s="37" t="str">
        <x:v>DE</x:v>
      </x:c>
      <x:c r="H11" s="67"/>
      <x:c r="I11" s="67"/>
      <x:c r="J11" s="67"/>
      <x:c r="K11" s="37" t="str">
        <x:v>VK über B2B-Stückstaffeln; Shop/Amazon noch offen</x:v>
      </x:c>
      <x:c r="L11" s="37" t="str"/>
      <x:c r="M11" s="37" t="str">
        <x:v>LUA-SW-25-500</x:v>
      </x:c>
    </x:row>
    <x:row r="12" ht="27" customHeight="1">
      <x:c r="A12" s="37" t="n">
        <x:v>8</x:v>
      </x:c>
      <x:c r="B12" s="37" t="str">
        <x:v>LUA-SW-25-500-EN</x:v>
      </x:c>
      <x:c r="C12" s="37" t="str">
        <x:v>LUAMO Black Straw 25 cm, 500 pcs/sleeve</x:v>
      </x:c>
      <x:c r="D12" s="37" t="str">
        <x:v>Einweg-/Serviceprodukte</x:v>
      </x:c>
      <x:c r="E12" s="37" t="n">
        <x:v>500</x:v>
      </x:c>
      <x:c r="F12" s="37" t="str">
        <x:v>Schlauchbeutel</x:v>
      </x:c>
      <x:c r="G12" s="37" t="str">
        <x:v>EN</x:v>
      </x:c>
      <x:c r="H12" s="67"/>
      <x:c r="I12" s="67"/>
      <x:c r="J12" s="67"/>
      <x:c r="K12" s="37" t="str">
        <x:v>VK über B2B-Stückstaffeln; Shop/Amazon noch offen</x:v>
      </x:c>
      <x:c r="L12" s="37" t="str"/>
      <x:c r="M12" s="37" t="str">
        <x:v>LUA-SW-25-500</x:v>
      </x:c>
    </x:row>
    <x:row r="13" ht="27" customHeight="1">
      <x:c r="A13" s="37" t="n">
        <x:v>9</x:v>
      </x:c>
      <x:c r="B13" s="37" t="str">
        <x:v>LUA-SW-30-500-DE</x:v>
      </x:c>
      <x:c r="C13" s="37" t="str">
        <x:v>LUAMO Trinkhalm schwarz 30 cm, 500 Stück/Schlauchbeutel</x:v>
      </x:c>
      <x:c r="D13" s="37" t="str">
        <x:v>Einweg-/Serviceprodukte</x:v>
      </x:c>
      <x:c r="E13" s="37" t="n">
        <x:v>500</x:v>
      </x:c>
      <x:c r="F13" s="37" t="str">
        <x:v>Schlauchbeutel</x:v>
      </x:c>
      <x:c r="G13" s="37" t="str">
        <x:v>DE</x:v>
      </x:c>
      <x:c r="H13" s="67"/>
      <x:c r="I13" s="67"/>
      <x:c r="J13" s="67"/>
      <x:c r="K13" s="37" t="str">
        <x:v>VK über B2B-Stückstaffeln; Shop/Amazon noch offen</x:v>
      </x:c>
      <x:c r="L13" s="37" t="str"/>
      <x:c r="M13" s="37" t="str">
        <x:v>LUA-SW-30-500</x:v>
      </x:c>
    </x:row>
    <x:row r="14" ht="27" customHeight="1">
      <x:c r="A14" s="37" t="n">
        <x:v>10</x:v>
      </x:c>
      <x:c r="B14" s="37" t="str">
        <x:v>LUA-SW-30-500-EN</x:v>
      </x:c>
      <x:c r="C14" s="37" t="str">
        <x:v>LUAMO Black Straw 30 cm, 500 pcs/sleeve</x:v>
      </x:c>
      <x:c r="D14" s="37" t="str">
        <x:v>Einweg-/Serviceprodukte</x:v>
      </x:c>
      <x:c r="E14" s="37" t="n">
        <x:v>500</x:v>
      </x:c>
      <x:c r="F14" s="37" t="str">
        <x:v>Schlauchbeutel</x:v>
      </x:c>
      <x:c r="G14" s="37" t="str">
        <x:v>EN</x:v>
      </x:c>
      <x:c r="H14" s="67"/>
      <x:c r="I14" s="67"/>
      <x:c r="J14" s="67"/>
      <x:c r="K14" s="37" t="str">
        <x:v>VK über B2B-Stückstaffeln; Shop/Amazon noch offen</x:v>
      </x:c>
      <x:c r="L14" s="37" t="str"/>
      <x:c r="M14" s="37" t="str">
        <x:v>LUA-SW-30-500</x:v>
      </x:c>
    </x:row>
    <x:row r="15" ht="27" customHeight="1">
      <x:c r="A15" s="37" t="n">
        <x:v>11</x:v>
      </x:c>
      <x:c r="B15" s="37" t="str">
        <x:v>LUA-SW-15-100-DE</x:v>
      </x:c>
      <x:c r="C15" s="37" t="str">
        <x:v>LUAMO Trinkhalm schwarz 15 cm, 100 Stück/Karton</x:v>
      </x:c>
      <x:c r="D15" s="37" t="str">
        <x:v>Einweg-/Serviceprodukte</x:v>
      </x:c>
      <x:c r="E15" s="37" t="n">
        <x:v>100</x:v>
      </x:c>
      <x:c r="F15" s="37" t="str">
        <x:v>Karton</x:v>
      </x:c>
      <x:c r="G15" s="37" t="str">
        <x:v>DE</x:v>
      </x:c>
      <x:c r="H15" s="67"/>
      <x:c r="I15" s="67"/>
      <x:c r="J15" s="67"/>
      <x:c r="K15" s="37" t="str">
        <x:v>VK über B2B-Stückstaffeln; Shop/Amazon noch offen</x:v>
      </x:c>
      <x:c r="L15" s="37" t="str"/>
      <x:c r="M15" s="37" t="str">
        <x:v>LUA-SW-15-100</x:v>
      </x:c>
    </x:row>
    <x:row r="16" ht="27" customHeight="1">
      <x:c r="A16" s="37" t="n">
        <x:v>12</x:v>
      </x:c>
      <x:c r="B16" s="37" t="str">
        <x:v>LUA-SW-15-100-EN</x:v>
      </x:c>
      <x:c r="C16" s="37" t="str">
        <x:v>LUAMO Black Straw 15 cm, 100 pcs/carton</x:v>
      </x:c>
      <x:c r="D16" s="37" t="str">
        <x:v>Einweg-/Serviceprodukte</x:v>
      </x:c>
      <x:c r="E16" s="37" t="n">
        <x:v>100</x:v>
      </x:c>
      <x:c r="F16" s="37" t="str">
        <x:v>Karton</x:v>
      </x:c>
      <x:c r="G16" s="37" t="str">
        <x:v>EN</x:v>
      </x:c>
      <x:c r="H16" s="67"/>
      <x:c r="I16" s="67"/>
      <x:c r="J16" s="67"/>
      <x:c r="K16" s="37" t="str">
        <x:v>VK über B2B-Stückstaffeln; Shop/Amazon noch offen</x:v>
      </x:c>
      <x:c r="L16" s="37" t="str"/>
      <x:c r="M16" s="37" t="str">
        <x:v>LUA-SW-15-100</x:v>
      </x:c>
    </x:row>
    <x:row r="17" ht="27" customHeight="1">
      <x:c r="A17" s="37" t="n">
        <x:v>13</x:v>
      </x:c>
      <x:c r="B17" s="37" t="str">
        <x:v>LUA-SW-20-100-DE</x:v>
      </x:c>
      <x:c r="C17" s="37" t="str">
        <x:v>LUAMO Trinkhalm schwarz 20 cm, 100 Stück/Karton</x:v>
      </x:c>
      <x:c r="D17" s="37" t="str">
        <x:v>Einweg-/Serviceprodukte</x:v>
      </x:c>
      <x:c r="E17" s="37" t="n">
        <x:v>100</x:v>
      </x:c>
      <x:c r="F17" s="37" t="str">
        <x:v>Karton</x:v>
      </x:c>
      <x:c r="G17" s="37" t="str">
        <x:v>DE</x:v>
      </x:c>
      <x:c r="H17" s="67"/>
      <x:c r="I17" s="67"/>
      <x:c r="J17" s="67"/>
      <x:c r="K17" s="37" t="str">
        <x:v>VK über B2B-Stückstaffeln; Shop/Amazon noch offen</x:v>
      </x:c>
      <x:c r="L17" s="37" t="str"/>
      <x:c r="M17" s="37" t="str">
        <x:v>LUA-SW-20-100</x:v>
      </x:c>
    </x:row>
    <x:row r="18" ht="27" customHeight="1">
      <x:c r="A18" s="37" t="n">
        <x:v>14</x:v>
      </x:c>
      <x:c r="B18" s="37" t="str">
        <x:v>LUA-SW-20-100-EN</x:v>
      </x:c>
      <x:c r="C18" s="37" t="str">
        <x:v>LUAMO Black Straw 20 cm, 100 pcs/carton</x:v>
      </x:c>
      <x:c r="D18" s="37" t="str">
        <x:v>Einweg-/Serviceprodukte</x:v>
      </x:c>
      <x:c r="E18" s="37" t="n">
        <x:v>100</x:v>
      </x:c>
      <x:c r="F18" s="37" t="str">
        <x:v>Karton</x:v>
      </x:c>
      <x:c r="G18" s="37" t="str">
        <x:v>EN</x:v>
      </x:c>
      <x:c r="H18" s="67"/>
      <x:c r="I18" s="67"/>
      <x:c r="J18" s="67"/>
      <x:c r="K18" s="37" t="str">
        <x:v>VK über B2B-Stückstaffeln; Shop/Amazon noch offen</x:v>
      </x:c>
      <x:c r="L18" s="37" t="str"/>
      <x:c r="M18" s="37" t="str">
        <x:v>LUA-SW-20-100</x:v>
      </x:c>
    </x:row>
    <x:row r="19" ht="27" customHeight="1">
      <x:c r="A19" s="37" t="n">
        <x:v>15</x:v>
      </x:c>
      <x:c r="B19" s="37" t="str">
        <x:v>LUA-SW-20-050-DE</x:v>
      </x:c>
      <x:c r="C19" s="37" t="str">
        <x:v>LUAMO Trinkhalm schwarz 20 cm, 50 Stück/Karton</x:v>
      </x:c>
      <x:c r="D19" s="37" t="str">
        <x:v>Einweg-/Serviceprodukte</x:v>
      </x:c>
      <x:c r="E19" s="37" t="n">
        <x:v>50</x:v>
      </x:c>
      <x:c r="F19" s="37" t="str">
        <x:v>Karton</x:v>
      </x:c>
      <x:c r="G19" s="37" t="str">
        <x:v>DE</x:v>
      </x:c>
      <x:c r="H19" s="67"/>
      <x:c r="I19" s="67"/>
      <x:c r="J19" s="67"/>
      <x:c r="K19" s="37" t="str">
        <x:v>VK für 50er-Karton noch offen (nicht 0,069 € für 100er gleichsetzen)</x:v>
      </x:c>
      <x:c r="L19" s="37" t="str"/>
      <x:c r="M19" s="37" t="str">
        <x:v>LUA-SW-20-050</x:v>
      </x:c>
    </x:row>
    <x:row r="20" ht="27" customHeight="1">
      <x:c r="A20" s="37" t="n">
        <x:v>16</x:v>
      </x:c>
      <x:c r="B20" s="37" t="str">
        <x:v>LUA-SW-20-050-EN</x:v>
      </x:c>
      <x:c r="C20" s="37" t="str">
        <x:v>LUAMO Black Straw 20 cm, 50 pcs/carton</x:v>
      </x:c>
      <x:c r="D20" s="37" t="str">
        <x:v>Einweg-/Serviceprodukte</x:v>
      </x:c>
      <x:c r="E20" s="37" t="n">
        <x:v>50</x:v>
      </x:c>
      <x:c r="F20" s="37" t="str">
        <x:v>Karton</x:v>
      </x:c>
      <x:c r="G20" s="37" t="str">
        <x:v>EN</x:v>
      </x:c>
      <x:c r="H20" s="67"/>
      <x:c r="I20" s="67"/>
      <x:c r="J20" s="67"/>
      <x:c r="K20" s="37" t="str">
        <x:v>VK für 50er-Karton noch offen (nicht 0,069 € für 100er gleichsetzen)</x:v>
      </x:c>
      <x:c r="L20" s="37" t="str"/>
      <x:c r="M20" s="37" t="str">
        <x:v>LUA-SW-20-050</x:v>
      </x:c>
    </x:row>
    <x:row r="21" ht="27" customHeight="1">
      <x:c r="A21" s="37" t="n">
        <x:v>17</x:v>
      </x:c>
      <x:c r="B21" s="37" t="str">
        <x:v>LUA-GB-GABEL-150-DE</x:v>
      </x:c>
      <x:c r="C21" s="37" t="str">
        <x:v>LUAMO Gabel – 150er-Karton</x:v>
      </x:c>
      <x:c r="D21" s="37" t="str">
        <x:v>Großbesteck</x:v>
      </x:c>
      <x:c r="E21" s="37" t="n">
        <x:v>150</x:v>
      </x:c>
      <x:c r="F21" s="37" t="str">
        <x:v>Karton</x:v>
      </x:c>
      <x:c r="G21" s="37" t="str">
        <x:v>DE</x:v>
      </x:c>
      <x:c r="H21" s="37" t="n">
        <x:v>24.9</x:v>
      </x:c>
      <x:c r="I21" s="37" t="n">
        <x:v>39.9</x:v>
      </x:c>
      <x:c r="J21" s="37"/>
      <x:c r="K21" s="37" t="str">
        <x:v>Shop und Amazon inkl. 19 % MwSt.</x:v>
      </x:c>
      <x:c r="L21" s="37" t="str"/>
      <x:c r="M21" s="37" t="str">
        <x:v>LUA-GB-GABEL-150</x:v>
      </x:c>
    </x:row>
    <x:row r="22" ht="27" customHeight="1">
      <x:c r="A22" s="68" t="n">
        <x:v>18</x:v>
      </x:c>
      <x:c r="B22" s="68" t="str">
        <x:v>LUA-GB-GABEL-150-EN</x:v>
      </x:c>
      <x:c r="C22" s="68" t="str">
        <x:v>LUAMO Fork, 150 pcs/carton</x:v>
      </x:c>
      <x:c r="D22" s="68" t="str">
        <x:v>Großbesteck</x:v>
      </x:c>
      <x:c r="E22" s="68" t="n">
        <x:v>150</x:v>
      </x:c>
      <x:c r="F22" s="68" t="str">
        <x:v>Karton</x:v>
      </x:c>
      <x:c r="G22" s="68" t="str">
        <x:v>EN</x:v>
      </x:c>
      <x:c r="H22" s="68" t="n">
        <x:v>24.9</x:v>
      </x:c>
      <x:c r="I22" s="68" t="n">
        <x:v>39.9</x:v>
      </x:c>
      <x:c r="J22" s="68"/>
      <x:c r="K22" s="68" t="str">
        <x:v>Shop und Amazon inkl. 19 % MwSt.</x:v>
      </x:c>
      <x:c r="L22" s="37" t="str"/>
      <x:c r="M22" s="37" t="str">
        <x:v>LUA-GB-GABEL-150</x:v>
      </x:c>
    </x:row>
    <x:row r="23" ht="27" customHeight="1">
      <x:c r="A23" s="68" t="n">
        <x:v>19</x:v>
      </x:c>
      <x:c r="B23" s="68" t="str">
        <x:v>LUA-GB-LOEFFEL-150-DE</x:v>
      </x:c>
      <x:c r="C23" s="68" t="str">
        <x:v>LUAMO Löffel – 150er-Karton</x:v>
      </x:c>
      <x:c r="D23" s="68" t="str">
        <x:v>Großbesteck</x:v>
      </x:c>
      <x:c r="E23" s="68" t="n">
        <x:v>150</x:v>
      </x:c>
      <x:c r="F23" s="68" t="str">
        <x:v>Karton</x:v>
      </x:c>
      <x:c r="G23" s="68" t="str">
        <x:v>DE</x:v>
      </x:c>
      <x:c r="H23" s="68" t="n">
        <x:v>24.9</x:v>
      </x:c>
      <x:c r="I23" s="68" t="n">
        <x:v>39.9</x:v>
      </x:c>
      <x:c r="J23" s="68"/>
      <x:c r="K23" s="68" t="str">
        <x:v>Shop und Amazon inkl. 19 % MwSt.</x:v>
      </x:c>
      <x:c r="L23" s="37" t="str"/>
      <x:c r="M23" s="37" t="str">
        <x:v>LUA-GB-LOEFFEL-150</x:v>
      </x:c>
    </x:row>
    <x:row r="24" ht="27" customHeight="1">
      <x:c r="A24" s="68" t="n">
        <x:v>20</x:v>
      </x:c>
      <x:c r="B24" s="68" t="str">
        <x:v>LUA-GB-LOEFFEL-150-EN</x:v>
      </x:c>
      <x:c r="C24" s="68" t="str">
        <x:v>LUAMO Spoon, 150 pcs/carton</x:v>
      </x:c>
      <x:c r="D24" s="68" t="str">
        <x:v>Großbesteck</x:v>
      </x:c>
      <x:c r="E24" s="68" t="n">
        <x:v>150</x:v>
      </x:c>
      <x:c r="F24" s="68" t="str">
        <x:v>Karton</x:v>
      </x:c>
      <x:c r="G24" s="68" t="str">
        <x:v>EN</x:v>
      </x:c>
      <x:c r="H24" s="68" t="n">
        <x:v>24.9</x:v>
      </x:c>
      <x:c r="I24" s="68" t="n">
        <x:v>39.9</x:v>
      </x:c>
      <x:c r="J24" s="68"/>
      <x:c r="K24" s="68" t="str">
        <x:v>Shop und Amazon inkl. 19 % MwSt.</x:v>
      </x:c>
      <x:c r="L24" s="37" t="str"/>
      <x:c r="M24" s="37" t="str">
        <x:v>LUA-GB-LOEFFEL-150</x:v>
      </x:c>
    </x:row>
    <x:row r="25" ht="27" customHeight="1">
      <x:c r="A25" s="37" t="n">
        <x:v>21</x:v>
      </x:c>
      <x:c r="B25" s="37" t="str">
        <x:v>LUA-GB-MESSER-150-DE</x:v>
      </x:c>
      <x:c r="C25" s="37" t="str">
        <x:v>LUAMO Messer – 150er-Karton</x:v>
      </x:c>
      <x:c r="D25" s="37" t="str">
        <x:v>Großbesteck</x:v>
      </x:c>
      <x:c r="E25" s="37" t="n">
        <x:v>150</x:v>
      </x:c>
      <x:c r="F25" s="37" t="str">
        <x:v>Karton</x:v>
      </x:c>
      <x:c r="G25" s="37" t="str">
        <x:v>DE</x:v>
      </x:c>
      <x:c r="H25" s="37" t="n">
        <x:v>24.9</x:v>
      </x:c>
      <x:c r="I25" s="37" t="n">
        <x:v>39.9</x:v>
      </x:c>
      <x:c r="J25" s="37"/>
      <x:c r="K25" s="37" t="str">
        <x:v>Shop und Amazon inkl. 19 % MwSt.</x:v>
      </x:c>
      <x:c r="L25" s="37" t="str"/>
      <x:c r="M25" s="37" t="str">
        <x:v>LUA-GB-MESSER-150</x:v>
      </x:c>
    </x:row>
    <x:row r="26" ht="27" customHeight="1">
      <x:c r="A26" s="37" t="n">
        <x:v>22</x:v>
      </x:c>
      <x:c r="B26" s="37" t="str">
        <x:v>LUA-GB-MESSER-150-EN</x:v>
      </x:c>
      <x:c r="C26" s="37" t="str">
        <x:v>LUAMO Knife, 150 pcs/carton</x:v>
      </x:c>
      <x:c r="D26" s="37" t="str">
        <x:v>Großbesteck</x:v>
      </x:c>
      <x:c r="E26" s="37" t="n">
        <x:v>150</x:v>
      </x:c>
      <x:c r="F26" s="37" t="str">
        <x:v>Karton</x:v>
      </x:c>
      <x:c r="G26" s="37" t="str">
        <x:v>EN</x:v>
      </x:c>
      <x:c r="H26" s="37" t="n">
        <x:v>24.9</x:v>
      </x:c>
      <x:c r="I26" s="37" t="n">
        <x:v>39.9</x:v>
      </x:c>
      <x:c r="J26" s="37"/>
      <x:c r="K26" s="37" t="str">
        <x:v>Shop und Amazon inkl. 19 % MwSt.</x:v>
      </x:c>
      <x:c r="L26" s="37" t="str"/>
      <x:c r="M26" s="37" t="str">
        <x:v>LUA-GB-MESSER-150</x:v>
      </x:c>
    </x:row>
    <x:row r="27" ht="27" customHeight="1">
      <x:c r="A27" s="37" t="n">
        <x:v>23</x:v>
      </x:c>
      <x:c r="B27" s="37" t="str">
        <x:v>LUA-GB-MIX-150-DE</x:v>
      </x:c>
      <x:c r="C27" s="37" t="str">
        <x:v>LUAMO Großbesteck Mix – 150er-Karton</x:v>
      </x:c>
      <x:c r="D27" s="37" t="str">
        <x:v>Großbesteck</x:v>
      </x:c>
      <x:c r="E27" s="37" t="n">
        <x:v>150</x:v>
      </x:c>
      <x:c r="F27" s="37" t="str">
        <x:v>Karton</x:v>
      </x:c>
      <x:c r="G27" s="37" t="str">
        <x:v>DE</x:v>
      </x:c>
      <x:c r="H27" s="37" t="n">
        <x:v>24.9</x:v>
      </x:c>
      <x:c r="I27" s="37" t="n">
        <x:v>39.9</x:v>
      </x:c>
      <x:c r="J27" s="37"/>
      <x:c r="K27" s="37" t="str">
        <x:v>Großbesteck Mix: Konfektionierung noch gesondert kalkulieren</x:v>
      </x:c>
      <x:c r="L27" s="37" t="str"/>
      <x:c r="M27" s="37" t="str">
        <x:v>LUA-GB-MIX-150</x:v>
      </x:c>
    </x:row>
    <x:row r="28" ht="27" customHeight="1">
      <x:c r="A28" s="37" t="n">
        <x:v>24</x:v>
      </x:c>
      <x:c r="B28" s="37" t="str">
        <x:v>LUA-GB-MIX-150-EN</x:v>
      </x:c>
      <x:c r="C28" s="37" t="str">
        <x:v>LUAMO Mixed Cutlery, 150 pcs/carton</x:v>
      </x:c>
      <x:c r="D28" s="37" t="str">
        <x:v>Großbesteck</x:v>
      </x:c>
      <x:c r="E28" s="37" t="n">
        <x:v>150</x:v>
      </x:c>
      <x:c r="F28" s="37" t="str">
        <x:v>Karton</x:v>
      </x:c>
      <x:c r="G28" s="37" t="str">
        <x:v>EN</x:v>
      </x:c>
      <x:c r="H28" s="37" t="n">
        <x:v>24.9</x:v>
      </x:c>
      <x:c r="I28" s="37" t="n">
        <x:v>39.9</x:v>
      </x:c>
      <x:c r="J28" s="37"/>
      <x:c r="K28" s="37" t="str">
        <x:v>Großbesteck Mix: Konfektionierung noch gesondert kalkulieren</x:v>
      </x:c>
      <x:c r="L28" s="37" t="str"/>
      <x:c r="M28" s="37" t="str">
        <x:v>LUA-GB-MIX-150</x:v>
      </x:c>
    </x:row>
    <x:row r="29" ht="27" customHeight="1">
      <x:c r="A29" s="37" t="n">
        <x:v>25</x:v>
      </x:c>
      <x:c r="B29" s="37" t="str">
        <x:v>LUA-KB-EIS-500-DE</x:v>
      </x:c>
      <x:c r="C29" s="37" t="str">
        <x:v>LUAMO Eislöffel – 500er-Karton</x:v>
      </x:c>
      <x:c r="D29" s="37" t="str">
        <x:v>Kleinbesteck</x:v>
      </x:c>
      <x:c r="E29" s="37" t="n">
        <x:v>500</x:v>
      </x:c>
      <x:c r="F29" s="37" t="str">
        <x:v>Karton</x:v>
      </x:c>
      <x:c r="G29" s="37" t="str">
        <x:v>DE</x:v>
      </x:c>
      <x:c r="H29" s="37" t="n">
        <x:v>39.9</x:v>
      </x:c>
      <x:c r="I29" s="37" t="n">
        <x:v>44.9</x:v>
      </x:c>
      <x:c r="J29" s="37"/>
      <x:c r="K29" s="37" t="str">
        <x:v>Shop und Amazon inkl. 19 % MwSt.</x:v>
      </x:c>
      <x:c r="L29" s="37" t="str"/>
      <x:c r="M29" s="37" t="str">
        <x:v>LUA-KB-EIS-500</x:v>
      </x:c>
    </x:row>
    <x:row r="30" ht="27" customHeight="1">
      <x:c r="A30" s="37" t="n">
        <x:v>26</x:v>
      </x:c>
      <x:c r="B30" s="37" t="str">
        <x:v>LUA-KB-EIS-500-EN</x:v>
      </x:c>
      <x:c r="C30" s="37" t="str">
        <x:v>LUAMO Ice Cream Spoon, 500 pcs/carton</x:v>
      </x:c>
      <x:c r="D30" s="37" t="str">
        <x:v>Kleinbesteck</x:v>
      </x:c>
      <x:c r="E30" s="37" t="n">
        <x:v>500</x:v>
      </x:c>
      <x:c r="F30" s="37" t="str">
        <x:v>Karton</x:v>
      </x:c>
      <x:c r="G30" s="37" t="str">
        <x:v>EN</x:v>
      </x:c>
      <x:c r="H30" s="37" t="n">
        <x:v>39.9</x:v>
      </x:c>
      <x:c r="I30" s="37" t="n">
        <x:v>44.9</x:v>
      </x:c>
      <x:c r="J30" s="37"/>
      <x:c r="K30" s="37" t="str">
        <x:v>Shop und Amazon inkl. 19 % MwSt.</x:v>
      </x:c>
      <x:c r="L30" s="37" t="str"/>
      <x:c r="M30" s="37" t="str">
        <x:v>LUA-KB-EIS-500</x:v>
      </x:c>
    </x:row>
    <x:row r="31" ht="27" customHeight="1">
      <x:c r="A31" s="37" t="n">
        <x:v>27</x:v>
      </x:c>
      <x:c r="B31" s="37" t="str">
        <x:v>LUA-KB-POMMES-500-DE</x:v>
      </x:c>
      <x:c r="C31" s="37" t="str">
        <x:v>LUAMO Pommespicker – 500er-Karton</x:v>
      </x:c>
      <x:c r="D31" s="37" t="str">
        <x:v>Kleinbesteck</x:v>
      </x:c>
      <x:c r="E31" s="37" t="n">
        <x:v>500</x:v>
      </x:c>
      <x:c r="F31" s="37" t="str">
        <x:v>Karton</x:v>
      </x:c>
      <x:c r="G31" s="37" t="str">
        <x:v>DE</x:v>
      </x:c>
      <x:c r="H31" s="37" t="n">
        <x:v>34.9</x:v>
      </x:c>
      <x:c r="I31" s="37" t="n">
        <x:v>44.9</x:v>
      </x:c>
      <x:c r="J31" s="37"/>
      <x:c r="K31" s="37" t="str">
        <x:v>Shop und Amazon inkl. 19 % MwSt.</x:v>
      </x:c>
      <x:c r="L31" s="37" t="str"/>
      <x:c r="M31" s="37" t="str">
        <x:v>LUA-KB-POMMES-500</x:v>
      </x:c>
    </x:row>
    <x:row r="32" ht="27" customHeight="1">
      <x:c r="A32" s="37" t="n">
        <x:v>28</x:v>
      </x:c>
      <x:c r="B32" s="37" t="str">
        <x:v>LUA-KB-POMMES-500-EN</x:v>
      </x:c>
      <x:c r="C32" s="37" t="str">
        <x:v>LUAMO Fries Pick, 500 pcs/carton</x:v>
      </x:c>
      <x:c r="D32" s="37" t="str">
        <x:v>Kleinbesteck</x:v>
      </x:c>
      <x:c r="E32" s="37" t="n">
        <x:v>500</x:v>
      </x:c>
      <x:c r="F32" s="37" t="str">
        <x:v>Karton</x:v>
      </x:c>
      <x:c r="G32" s="37" t="str">
        <x:v>EN</x:v>
      </x:c>
      <x:c r="H32" s="37" t="n">
        <x:v>34.9</x:v>
      </x:c>
      <x:c r="I32" s="37" t="n">
        <x:v>44.9</x:v>
      </x:c>
      <x:c r="J32" s="37"/>
      <x:c r="K32" s="37" t="str">
        <x:v>Shop und Amazon inkl. 19 % MwSt.</x:v>
      </x:c>
      <x:c r="L32" s="37" t="str"/>
      <x:c r="M32" s="37" t="str">
        <x:v>LUA-KB-POMMES-500</x:v>
      </x:c>
    </x:row>
    <x:row r="33" ht="27" customHeight="1">
      <x:c r="A33" s="37" t="n">
        <x:v>29</x:v>
      </x:c>
      <x:c r="B33" s="37" t="str">
        <x:v>LUA-MUSTER-BESTECK-DE</x:v>
      </x:c>
      <x:c r="C33" s="37" t="str">
        <x:v>LUAMO Musterkarton Besteck</x:v>
      </x:c>
      <x:c r="D33" s="37" t="str">
        <x:v>Muster</x:v>
      </x:c>
      <x:c r="E33" s="37"/>
      <x:c r="F33" s="37" t="str">
        <x:v>Musterkarton</x:v>
      </x:c>
      <x:c r="G33" s="37" t="str">
        <x:v>DE</x:v>
      </x:c>
      <x:c r="H33" s="37"/>
      <x:c r="I33" s="37"/>
      <x:c r="J33" s="37" t="n">
        <x:v>7.5</x:v>
      </x:c>
      <x:c r="K33" s="37" t="str">
        <x:v>Enthält 1 Besteck-Beileger DE je Musterbox; kostenlos oder 7,50 € netto; Stückmix offen</x:v>
      </x:c>
      <x:c r="L33" s="37" t="str"/>
      <x:c r="M33" s="37" t="str">
        <x:v>LUA-MUSTER-BESTECK</x:v>
      </x:c>
    </x:row>
    <x:row r="34" ht="27" customHeight="1">
      <x:c r="A34" s="37" t="n">
        <x:v>30</x:v>
      </x:c>
      <x:c r="B34" s="37" t="str">
        <x:v>LUA-MUSTER-BESTECK-EN</x:v>
      </x:c>
      <x:c r="C34" s="37" t="str">
        <x:v>LUAMO Cutlery Sample Box</x:v>
      </x:c>
      <x:c r="D34" s="37" t="str">
        <x:v>Muster</x:v>
      </x:c>
      <x:c r="E34" s="37"/>
      <x:c r="F34" s="37" t="str">
        <x:v>Musterkarton</x:v>
      </x:c>
      <x:c r="G34" s="37" t="str">
        <x:v>EN</x:v>
      </x:c>
      <x:c r="H34" s="37"/>
      <x:c r="I34" s="37"/>
      <x:c r="J34" s="37" t="n">
        <x:v>7.5</x:v>
      </x:c>
      <x:c r="K34" s="37" t="str">
        <x:v>Contains 1 cutlery insert EN per sample box; free or €7.50 net; item mix open</x:v>
      </x:c>
      <x:c r="L34" s="37" t="str"/>
      <x:c r="M34" s="37" t="str">
        <x:v>LUA-MUSTER-BESTECK</x:v>
      </x:c>
    </x:row>
    <x:row r="35" ht="27" customHeight="1">
      <x:c r="A35" s="37" t="n">
        <x:v>31</x:v>
      </x:c>
      <x:c r="B35" s="37" t="str">
        <x:v>LUA-MUSTER-STROH-DE</x:v>
      </x:c>
      <x:c r="C35" s="37" t="str">
        <x:v>LUAMO Musterkarton Trinkhalme – 50 Stück</x:v>
      </x:c>
      <x:c r="D35" s="37" t="str">
        <x:v>Muster</x:v>
      </x:c>
      <x:c r="E35" s="37" t="n">
        <x:v>50</x:v>
      </x:c>
      <x:c r="F35" s="37" t="str">
        <x:v>Musterkarton</x:v>
      </x:c>
      <x:c r="G35" s="37" t="str">
        <x:v>DE</x:v>
      </x:c>
      <x:c r="H35" s="37"/>
      <x:c r="I35" s="37"/>
      <x:c r="J35" s="37" t="n">
        <x:v>4.9</x:v>
      </x:c>
      <x:c r="K35" s="37" t="str">
        <x:v>Enthält 1 Trinkhalm-Flyer DE je Musterbox; 50 Trinkhalme; kostenlos oder 4,90 € netto</x:v>
      </x:c>
      <x:c r="L35" s="37" t="str"/>
      <x:c r="M35" s="37" t="str">
        <x:v>LUA-MUSTER-STROH</x:v>
      </x:c>
    </x:row>
    <x:row r="36" ht="27" customHeight="1">
      <x:c r="A36" s="37" t="n">
        <x:v>32</x:v>
      </x:c>
      <x:c r="B36" s="37" t="str">
        <x:v>LUA-MUSTER-STROH-EN</x:v>
      </x:c>
      <x:c r="C36" s="37" t="str">
        <x:v>LUAMO Straw Sample Box, 50 pcs</x:v>
      </x:c>
      <x:c r="D36" s="37" t="str">
        <x:v>Muster</x:v>
      </x:c>
      <x:c r="E36" s="37" t="n">
        <x:v>50</x:v>
      </x:c>
      <x:c r="F36" s="37" t="str">
        <x:v>Musterkarton</x:v>
      </x:c>
      <x:c r="G36" s="37" t="str">
        <x:v>EN</x:v>
      </x:c>
      <x:c r="H36" s="37"/>
      <x:c r="I36" s="37"/>
      <x:c r="J36" s="37" t="n">
        <x:v>4.9</x:v>
      </x:c>
      <x:c r="K36" s="37" t="str">
        <x:v>Contains 1 straw flyer EN per sample box; 50 straws; free or €4.90 net</x:v>
      </x:c>
      <x:c r="L36" s="37" t="str"/>
      <x:c r="M36" s="37" t="str">
        <x:v>LUA-MUSTER-STROH</x:v>
      </x:c>
    </x:row>
  </x:sheetData>
  <x:mergeCells>
    <x:mergeCell ref="A1:K1"/>
    <x:mergeCell ref="A2:K2"/>
    <x:mergeCell ref="A22:K22"/>
    <x:mergeCell ref="A23:K23"/>
    <x:mergeCell ref="A24:K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46" hidden="0" customWidth="1"/>
  </x:cols>
  <x:sheetData>
    <x:row r="1" ht="38" customHeight="1">
      <x:c r="A1" s="58" t="str">
        <x:v>Interne SKU</x:v>
      </x:c>
      <x:c r="B1" s="58" t="str">
        <x:v>LUAMO Artikel DE</x:v>
      </x:c>
      <x:c r="C1" s="58" t="str">
        <x:v>Artikel EN (zu prüfen)</x:v>
      </x:c>
      <x:c r="D1" s="58" t="str">
        <x:v>Serie</x:v>
      </x:c>
      <x:c r="E1" s="58" t="str">
        <x:v>Packmenge</x:v>
      </x:c>
      <x:c r="F1" s="58" t="str">
        <x:v>Packart</x:v>
      </x:c>
      <x:c r="G1" s="58" t="str">
        <x:v>Sprache/Druck</x:v>
      </x:c>
      <x:c r="H1" s="58" t="str">
        <x:v>GTIN Verkauf (offen)</x:v>
      </x:c>
      <x:c r="I1" s="58" t="str">
        <x:v>GTIN Umkarton (offen)</x:v>
      </x:c>
      <x:c r="J1" s="58" t="str">
        <x:v>GTIN Palette (optional)</x:v>
      </x:c>
      <x:c r="K1" s="58" t="str">
        <x:v>Artikelstatus</x:v>
      </x:c>
      <x:c r="L1" s="58" t="str">
        <x:v>USt %</x:v>
      </x:c>
      <x:c r="M1" s="58" t="str">
        <x:v>EK netto/Stk</x:v>
      </x:c>
      <x:c r="N1" s="58" t="str">
        <x:v>Shop VK brutto</x:v>
      </x:c>
      <x:c r="O1" s="58" t="str">
        <x:v>Amazon VK brutto</x:v>
      </x:c>
      <x:c r="P1" s="58" t="str">
        <x:v>Muster VK netto</x:v>
      </x:c>
      <x:c r="Q1" s="58" t="str">
        <x:v>Umkarton VE</x:v>
      </x:c>
      <x:c r="R1" s="58" t="str">
        <x:v>Palette Umkartons</x:v>
      </x:c>
      <x:c r="S1" s="58" t="str">
        <x:v>Hinweis</x:v>
      </x:c>
    </x:row>
    <x:row r="2" ht="24" customHeight="1">
      <x:c r="A2" t="str">
        <x:v>LUA-SW-15-500</x:v>
      </x:c>
      <x:c r="B2" t="str">
        <x:v>LUAMO Trinkhalm schwarz 15 cm, 500 Stück/Schlauchbeutel</x:v>
      </x:c>
      <x:c r="C2"/>
      <x:c r="D2" t="str">
        <x:v>Einweg-/Serviceprodukte</x:v>
      </x:c>
      <x:c r="E2" t="n">
        <x:v>500</x:v>
      </x:c>
      <x:c r="F2" t="str">
        <x:v>Schlauchbeutel</x:v>
      </x:c>
      <x:c r="G2" t="str">
        <x:v>DE + EN als getrennte Druck-/Lagervarianten geplant</x:v>
      </x:c>
      <x:c r="H2"/>
      <x:c r="I2"/>
      <x:c r="J2"/>
      <x:c r="K2" t="str">
        <x:v>In Vorbereitung</x:v>
      </x:c>
      <x:c r="L2" t="n">
        <x:v>19</x:v>
      </x:c>
      <x:c r="M2" s="38" t="n">
        <x:v>0.01298</x:v>
      </x:c>
      <x:c r="N2" s="47"/>
      <x:c r="O2" s="47"/>
      <x:c r="P2" s="47"/>
      <x:c r="Q2"/>
      <x:c r="R2"/>
      <x:c r="S2" t="str">
        <x:v>Sonderpreis ab 300.000 Stück: 0,01820 € netto/Stück</x:v>
      </x:c>
    </x:row>
    <x:row r="3" ht="24" customHeight="1">
      <x:c r="A3" t="str">
        <x:v>LUA-SW-20-500</x:v>
      </x:c>
      <x:c r="B3" t="str">
        <x:v>LUAMO Trinkhalm schwarz 20 cm, 500 Stück/Schlauchbeutel</x:v>
      </x:c>
      <x:c r="C3"/>
      <x:c r="D3" t="str">
        <x:v>Einweg-/Serviceprodukte</x:v>
      </x:c>
      <x:c r="E3" t="n">
        <x:v>500</x:v>
      </x:c>
      <x:c r="F3" t="str">
        <x:v>Schlauchbeutel</x:v>
      </x:c>
      <x:c r="G3" t="str">
        <x:v>DE + EN als getrennte Druck-/Lagervarianten geplant</x:v>
      </x:c>
      <x:c r="H3"/>
      <x:c r="I3"/>
      <x:c r="J3"/>
      <x:c r="K3" t="str">
        <x:v>In Vorbereitung</x:v>
      </x:c>
      <x:c r="L3" t="n">
        <x:v>19</x:v>
      </x:c>
      <x:c r="M3" s="38" t="n">
        <x:v>0.01386</x:v>
      </x:c>
      <x:c r="N3" s="47"/>
      <x:c r="O3" s="47"/>
      <x:c r="P3" s="47"/>
      <x:c r="Q3"/>
      <x:c r="R3"/>
      <x:c r="S3" t="str">
        <x:v>VK über B2B-Stückstaffeln; Shop/Amazon noch offen</x:v>
      </x:c>
    </x:row>
    <x:row r="4" ht="24" customHeight="1">
      <x:c r="A4" t="str">
        <x:v>LUA-SW-23-500</x:v>
      </x:c>
      <x:c r="B4" t="str">
        <x:v>LUAMO Trinkhalm schwarz 23 cm, 500 Stück/Schlauchbeutel</x:v>
      </x:c>
      <x:c r="C4"/>
      <x:c r="D4" t="str">
        <x:v>Einweg-/Serviceprodukte</x:v>
      </x:c>
      <x:c r="E4" t="n">
        <x:v>500</x:v>
      </x:c>
      <x:c r="F4" t="str">
        <x:v>Schlauchbeutel</x:v>
      </x:c>
      <x:c r="G4" t="str">
        <x:v>DE + EN als getrennte Druck-/Lagervarianten geplant</x:v>
      </x:c>
      <x:c r="H4"/>
      <x:c r="I4"/>
      <x:c r="J4"/>
      <x:c r="K4" t="str">
        <x:v>In Vorbereitung</x:v>
      </x:c>
      <x:c r="L4" t="n">
        <x:v>19</x:v>
      </x:c>
      <x:c r="M4" s="38" t="n">
        <x:v>0.0143</x:v>
      </x:c>
      <x:c r="N4" s="47"/>
      <x:c r="O4" s="47"/>
      <x:c r="P4" s="47"/>
      <x:c r="Q4"/>
      <x:c r="R4"/>
      <x:c r="S4" t="str">
        <x:v>VK über B2B-Stückstaffeln; Shop/Amazon noch offen</x:v>
      </x:c>
    </x:row>
    <x:row r="5" ht="24" customHeight="1">
      <x:c r="A5" t="str">
        <x:v>LUA-SW-25-500</x:v>
      </x:c>
      <x:c r="B5" t="str">
        <x:v>LUAMO Trinkhalm schwarz 25 cm, 500 Stück/Schlauchbeutel</x:v>
      </x:c>
      <x:c r="C5"/>
      <x:c r="D5" t="str">
        <x:v>Einweg-/Serviceprodukte</x:v>
      </x:c>
      <x:c r="E5" t="n">
        <x:v>500</x:v>
      </x:c>
      <x:c r="F5" t="str">
        <x:v>Schlauchbeutel</x:v>
      </x:c>
      <x:c r="G5" t="str">
        <x:v>DE + EN als getrennte Druck-/Lagervarianten geplant</x:v>
      </x:c>
      <x:c r="H5"/>
      <x:c r="I5"/>
      <x:c r="J5"/>
      <x:c r="K5" t="str">
        <x:v>In Vorbereitung</x:v>
      </x:c>
      <x:c r="L5" t="n">
        <x:v>19</x:v>
      </x:c>
      <x:c r="M5" s="38" t="n">
        <x:v>0.01756</x:v>
      </x:c>
      <x:c r="N5" s="47"/>
      <x:c r="O5" s="47"/>
      <x:c r="P5" s="47"/>
      <x:c r="Q5"/>
      <x:c r="R5"/>
      <x:c r="S5" t="str">
        <x:v>VK über B2B-Stückstaffeln; Shop/Amazon noch offen</x:v>
      </x:c>
    </x:row>
    <x:row r="6" ht="24" customHeight="1">
      <x:c r="A6" t="str">
        <x:v>LUA-SW-30-500</x:v>
      </x:c>
      <x:c r="B6" t="str">
        <x:v>LUAMO Trinkhalm schwarz 30 cm, 500 Stück/Schlauchbeutel</x:v>
      </x:c>
      <x:c r="C6"/>
      <x:c r="D6" t="str">
        <x:v>Einweg-/Serviceprodukte</x:v>
      </x:c>
      <x:c r="E6" t="n">
        <x:v>500</x:v>
      </x:c>
      <x:c r="F6" t="str">
        <x:v>Schlauchbeutel</x:v>
      </x:c>
      <x:c r="G6" t="str">
        <x:v>DE + EN als getrennte Druck-/Lagervarianten geplant</x:v>
      </x:c>
      <x:c r="H6"/>
      <x:c r="I6"/>
      <x:c r="J6"/>
      <x:c r="K6" t="str">
        <x:v>In Vorbereitung</x:v>
      </x:c>
      <x:c r="L6" t="n">
        <x:v>19</x:v>
      </x:c>
      <x:c r="M6" s="38" t="n">
        <x:v>0.01867</x:v>
      </x:c>
      <x:c r="N6" s="47"/>
      <x:c r="O6" s="47"/>
      <x:c r="P6" s="47"/>
      <x:c r="Q6"/>
      <x:c r="R6"/>
      <x:c r="S6" t="str">
        <x:v>VK über B2B-Stückstaffeln; Shop/Amazon noch offen</x:v>
      </x:c>
    </x:row>
    <x:row r="7" ht="24" customHeight="1">
      <x:c r="A7" t="str">
        <x:v>LUA-SW-15-100</x:v>
      </x:c>
      <x:c r="B7" t="str">
        <x:v>LUAMO Trinkhalm schwarz 15 cm, 100 Stück/Karton</x:v>
      </x:c>
      <x:c r="C7"/>
      <x:c r="D7" t="str">
        <x:v>Einweg-/Serviceprodukte</x:v>
      </x:c>
      <x:c r="E7" t="n">
        <x:v>100</x:v>
      </x:c>
      <x:c r="F7" t="str">
        <x:v>Karton</x:v>
      </x:c>
      <x:c r="G7" t="str">
        <x:v>DE + EN als getrennte Druck-/Lagervarianten geplant</x:v>
      </x:c>
      <x:c r="H7"/>
      <x:c r="I7"/>
      <x:c r="J7"/>
      <x:c r="K7" t="str">
        <x:v>In Vorbereitung</x:v>
      </x:c>
      <x:c r="L7" t="n">
        <x:v>19</x:v>
      </x:c>
      <x:c r="M7" s="38" t="n">
        <x:v>0.01298</x:v>
      </x:c>
      <x:c r="N7" s="47"/>
      <x:c r="O7" s="47"/>
      <x:c r="P7" s="47"/>
      <x:c r="Q7"/>
      <x:c r="R7"/>
      <x:c r="S7" t="str">
        <x:v>VK über B2B-Stückstaffeln; Shop/Amazon noch offen</x:v>
      </x:c>
    </x:row>
    <x:row r="8" ht="24" customHeight="1">
      <x:c r="A8" t="str">
        <x:v>LUA-SW-20-100</x:v>
      </x:c>
      <x:c r="B8" t="str">
        <x:v>LUAMO Trinkhalm schwarz 20 cm, 100 Stück/Karton</x:v>
      </x:c>
      <x:c r="C8"/>
      <x:c r="D8" t="str">
        <x:v>Einweg-/Serviceprodukte</x:v>
      </x:c>
      <x:c r="E8" t="n">
        <x:v>100</x:v>
      </x:c>
      <x:c r="F8" t="str">
        <x:v>Karton</x:v>
      </x:c>
      <x:c r="G8" t="str">
        <x:v>DE + EN als getrennte Druck-/Lagervarianten geplant</x:v>
      </x:c>
      <x:c r="H8"/>
      <x:c r="I8"/>
      <x:c r="J8"/>
      <x:c r="K8" t="str">
        <x:v>In Vorbereitung</x:v>
      </x:c>
      <x:c r="L8" t="n">
        <x:v>19</x:v>
      </x:c>
      <x:c r="M8" s="38" t="n">
        <x:v>0.01386</x:v>
      </x:c>
      <x:c r="N8" s="47"/>
      <x:c r="O8" s="47"/>
      <x:c r="P8" s="47"/>
      <x:c r="Q8"/>
      <x:c r="R8"/>
      <x:c r="S8" t="str">
        <x:v>VK über B2B-Stückstaffeln; Shop/Amazon noch offen</x:v>
      </x:c>
    </x:row>
    <x:row r="9" ht="24" customHeight="1">
      <x:c r="A9" t="str">
        <x:v>LUA-SW-20-050</x:v>
      </x:c>
      <x:c r="B9" t="str">
        <x:v>LUAMO Trinkhalm schwarz 20 cm, 50 Stück/Karton</x:v>
      </x:c>
      <x:c r="C9"/>
      <x:c r="D9" t="str">
        <x:v>Einweg-/Serviceprodukte</x:v>
      </x:c>
      <x:c r="E9" t="n">
        <x:v>50</x:v>
      </x:c>
      <x:c r="F9" t="str">
        <x:v>Karton</x:v>
      </x:c>
      <x:c r="G9" t="str">
        <x:v>DE + EN als getrennte Druck-/Lagervarianten geplant</x:v>
      </x:c>
      <x:c r="H9"/>
      <x:c r="I9"/>
      <x:c r="J9"/>
      <x:c r="K9" t="str">
        <x:v>In Vorbereitung</x:v>
      </x:c>
      <x:c r="L9" t="n">
        <x:v>19</x:v>
      </x:c>
      <x:c r="M9" s="38" t="n">
        <x:v>0.01386</x:v>
      </x:c>
      <x:c r="N9" s="47"/>
      <x:c r="O9" s="47"/>
      <x:c r="P9" s="47"/>
      <x:c r="Q9"/>
      <x:c r="R9"/>
      <x:c r="S9" t="str">
        <x:v>VK für 50er-Karton noch offen (nicht 0,069 € für 100er gleichsetzen)</x:v>
      </x:c>
    </x:row>
    <x:row r="10" ht="24" customHeight="1">
      <x:c r="A10" t="str">
        <x:v>LUA-GB-GABEL-150</x:v>
      </x:c>
      <x:c r="B10" t="str">
        <x:v>LUAMO Gabel – 150er-Karton</x:v>
      </x:c>
      <x:c r="C10"/>
      <x:c r="D10" t="str">
        <x:v>Großbesteck</x:v>
      </x:c>
      <x:c r="E10" t="n">
        <x:v>150</x:v>
      </x:c>
      <x:c r="F10" t="str">
        <x:v>Karton</x:v>
      </x:c>
      <x:c r="G10" t="str">
        <x:v>DE + EN als getrennte Druck-/Lagervarianten geplant</x:v>
      </x:c>
      <x:c r="H10"/>
      <x:c r="I10"/>
      <x:c r="J10"/>
      <x:c r="K10" t="str">
        <x:v>In Vorbereitung</x:v>
      </x:c>
      <x:c r="L10" t="n">
        <x:v>19</x:v>
      </x:c>
      <x:c r="M10" s="38" t="n">
        <x:v>0.08264</x:v>
      </x:c>
      <x:c r="N10" s="47" t="n">
        <x:v>24.9</x:v>
      </x:c>
      <x:c r="O10" s="47" t="n">
        <x:v>39.9</x:v>
      </x:c>
      <x:c r="P10" s="47"/>
      <x:c r="Q10" t="n">
        <x:v>40</x:v>
      </x:c>
      <x:c r="R10" t="n">
        <x:v>20</x:v>
      </x:c>
      <x:c r="S10" t="str">
        <x:v>Shop und Amazon inkl. 19 % MwSt.</x:v>
      </x:c>
    </x:row>
    <x:row r="11" ht="24" customHeight="1">
      <x:c r="A11" t="str">
        <x:v>LUA-GB-LOEFFEL-150</x:v>
      </x:c>
      <x:c r="B11" t="str">
        <x:v>LUAMO Löffel – 150er-Karton</x:v>
      </x:c>
      <x:c r="C11"/>
      <x:c r="D11" t="str">
        <x:v>Großbesteck</x:v>
      </x:c>
      <x:c r="E11" t="n">
        <x:v>150</x:v>
      </x:c>
      <x:c r="F11" t="str">
        <x:v>Karton</x:v>
      </x:c>
      <x:c r="G11" t="str">
        <x:v>DE + EN als getrennte Druck-/Lagervarianten geplant</x:v>
      </x:c>
      <x:c r="H11"/>
      <x:c r="I11"/>
      <x:c r="J11"/>
      <x:c r="K11" t="str">
        <x:v>In Vorbereitung</x:v>
      </x:c>
      <x:c r="L11" t="n">
        <x:v>19</x:v>
      </x:c>
      <x:c r="M11" s="38" t="n">
        <x:v>0.08264</x:v>
      </x:c>
      <x:c r="N11" s="47" t="n">
        <x:v>24.9</x:v>
      </x:c>
      <x:c r="O11" s="47" t="n">
        <x:v>39.9</x:v>
      </x:c>
      <x:c r="P11" s="47"/>
      <x:c r="Q11" t="n">
        <x:v>40</x:v>
      </x:c>
      <x:c r="R11" t="n">
        <x:v>20</x:v>
      </x:c>
      <x:c r="S11" t="str">
        <x:v>Shop und Amazon inkl. 19 % MwSt.</x:v>
      </x:c>
    </x:row>
    <x:row r="12" ht="24" customHeight="1">
      <x:c r="A12" t="str">
        <x:v>LUA-GB-MESSER-150</x:v>
      </x:c>
      <x:c r="B12" t="str">
        <x:v>LUAMO Messer – 150er-Karton</x:v>
      </x:c>
      <x:c r="C12"/>
      <x:c r="D12" t="str">
        <x:v>Großbesteck</x:v>
      </x:c>
      <x:c r="E12" t="n">
        <x:v>150</x:v>
      </x:c>
      <x:c r="F12" t="str">
        <x:v>Karton</x:v>
      </x:c>
      <x:c r="G12" t="str">
        <x:v>DE + EN als getrennte Druck-/Lagervarianten geplant</x:v>
      </x:c>
      <x:c r="H12"/>
      <x:c r="I12"/>
      <x:c r="J12"/>
      <x:c r="K12" t="str">
        <x:v>In Vorbereitung</x:v>
      </x:c>
      <x:c r="L12" t="n">
        <x:v>19</x:v>
      </x:c>
      <x:c r="M12" s="38" t="n">
        <x:v>0.08264</x:v>
      </x:c>
      <x:c r="N12" s="47" t="n">
        <x:v>24.9</x:v>
      </x:c>
      <x:c r="O12" s="47" t="n">
        <x:v>39.9</x:v>
      </x:c>
      <x:c r="P12" s="47"/>
      <x:c r="Q12" t="n">
        <x:v>40</x:v>
      </x:c>
      <x:c r="R12" t="n">
        <x:v>20</x:v>
      </x:c>
      <x:c r="S12" t="str">
        <x:v>Shop und Amazon inkl. 19 % MwSt.</x:v>
      </x:c>
    </x:row>
    <x:row r="13" ht="24" customHeight="1">
      <x:c r="A13" t="str">
        <x:v>LUA-GB-MIX-150</x:v>
      </x:c>
      <x:c r="B13" t="str">
        <x:v>LUAMO Großbesteck Mix – 150er-Karton</x:v>
      </x:c>
      <x:c r="C13"/>
      <x:c r="D13" t="str">
        <x:v>Großbesteck</x:v>
      </x:c>
      <x:c r="E13" t="n">
        <x:v>150</x:v>
      </x:c>
      <x:c r="F13" t="str">
        <x:v>Karton</x:v>
      </x:c>
      <x:c r="G13" t="str">
        <x:v>DE + EN als getrennte Druck-/Lagervarianten geplant</x:v>
      </x:c>
      <x:c r="H13"/>
      <x:c r="I13"/>
      <x:c r="J13"/>
      <x:c r="K13" t="str">
        <x:v>In Vorbereitung</x:v>
      </x:c>
      <x:c r="L13" t="n">
        <x:v>19</x:v>
      </x:c>
      <x:c r="M13" s="38" t="n">
        <x:v>0.08264</x:v>
      </x:c>
      <x:c r="N13" s="47" t="n">
        <x:v>24.9</x:v>
      </x:c>
      <x:c r="O13" s="47" t="n">
        <x:v>39.9</x:v>
      </x:c>
      <x:c r="P13" s="47"/>
      <x:c r="Q13" t="n">
        <x:v>40</x:v>
      </x:c>
      <x:c r="R13" t="n">
        <x:v>20</x:v>
      </x:c>
      <x:c r="S13" t="str">
        <x:v>Großbesteck Mix: Konfektionierung noch gesondert kalkulieren</x:v>
      </x:c>
    </x:row>
    <x:row r="14" ht="24" customHeight="1">
      <x:c r="A14" t="str">
        <x:v>LUA-KB-EIS-500</x:v>
      </x:c>
      <x:c r="B14" t="str">
        <x:v>LUAMO Eislöffel – 500er-Karton</x:v>
      </x:c>
      <x:c r="C14"/>
      <x:c r="D14" t="str">
        <x:v>Kleinbesteck</x:v>
      </x:c>
      <x:c r="E14" t="n">
        <x:v>500</x:v>
      </x:c>
      <x:c r="F14" t="str">
        <x:v>Karton</x:v>
      </x:c>
      <x:c r="G14" t="str">
        <x:v>DE + EN als getrennte Druck-/Lagervarianten geplant</x:v>
      </x:c>
      <x:c r="H14"/>
      <x:c r="I14"/>
      <x:c r="J14"/>
      <x:c r="K14" t="str">
        <x:v>In Vorbereitung</x:v>
      </x:c>
      <x:c r="L14" t="n">
        <x:v>19</x:v>
      </x:c>
      <x:c r="M14" s="38" t="n">
        <x:v>0.02532</x:v>
      </x:c>
      <x:c r="N14" s="47" t="n">
        <x:v>39.9</x:v>
      </x:c>
      <x:c r="O14" s="47" t="n">
        <x:v>44.9</x:v>
      </x:c>
      <x:c r="P14" s="47"/>
      <x:c r="Q14" t="n">
        <x:v>40</x:v>
      </x:c>
      <x:c r="R14" t="n">
        <x:v>20</x:v>
      </x:c>
      <x:c r="S14" t="str">
        <x:v>Shop und Amazon inkl. 19 % MwSt.</x:v>
      </x:c>
    </x:row>
    <x:row r="15" ht="24" customHeight="1">
      <x:c r="A15" t="str">
        <x:v>LUA-KB-POMMES-500</x:v>
      </x:c>
      <x:c r="B15" t="str">
        <x:v>LUAMO Pommespicker – 500er-Karton</x:v>
      </x:c>
      <x:c r="C15"/>
      <x:c r="D15" t="str">
        <x:v>Kleinbesteck</x:v>
      </x:c>
      <x:c r="E15" t="n">
        <x:v>500</x:v>
      </x:c>
      <x:c r="F15" t="str">
        <x:v>Karton</x:v>
      </x:c>
      <x:c r="G15" t="str">
        <x:v>DE + EN als getrennte Druck-/Lagervarianten geplant</x:v>
      </x:c>
      <x:c r="H15"/>
      <x:c r="I15"/>
      <x:c r="J15"/>
      <x:c r="K15" t="str">
        <x:v>In Vorbereitung</x:v>
      </x:c>
      <x:c r="L15" t="n">
        <x:v>19</x:v>
      </x:c>
      <x:c r="M15" s="38" t="n">
        <x:v>0.02532</x:v>
      </x:c>
      <x:c r="N15" s="47" t="n">
        <x:v>34.9</x:v>
      </x:c>
      <x:c r="O15" s="47" t="n">
        <x:v>44.9</x:v>
      </x:c>
      <x:c r="P15" s="47"/>
      <x:c r="Q15" t="n">
        <x:v>40</x:v>
      </x:c>
      <x:c r="R15" t="n">
        <x:v>20</x:v>
      </x:c>
      <x:c r="S15" t="str">
        <x:v>Shop und Amazon inkl. 19 % MwSt.</x:v>
      </x:c>
    </x:row>
    <x:row r="16" ht="24" customHeight="1">
      <x:c r="A16" t="str">
        <x:v>LUA-MUSTER-BESTECK</x:v>
      </x:c>
      <x:c r="B16" t="str">
        <x:v>LUAMO Musterkarton Besteck</x:v>
      </x:c>
      <x:c r="C16"/>
      <x:c r="D16" t="str">
        <x:v>Muster</x:v>
      </x:c>
      <x:c r="E16"/>
      <x:c r="F16" t="str">
        <x:v>Musterkarton</x:v>
      </x:c>
      <x:c r="G16" t="str">
        <x:v>DE + EN als getrennte Druck-/Lagervarianten geplant</x:v>
      </x:c>
      <x:c r="H16"/>
      <x:c r="I16"/>
      <x:c r="J16"/>
      <x:c r="K16" t="str">
        <x:v>In Vorbereitung</x:v>
      </x:c>
      <x:c r="L16" t="n">
        <x:v>19</x:v>
      </x:c>
      <x:c r="M16" s="38"/>
      <x:c r="N16" s="47"/>
      <x:c r="O16" s="47"/>
      <x:c r="P16" s="47" t="n">
        <x:v>7.5</x:v>
      </x:c>
      <x:c r="Q16"/>
      <x:c r="R16"/>
      <x:c r="S16" t="str">
        <x:v>Kostenlose Musterabgabe alternativ möglich; Zusammenstellung offen</x:v>
      </x:c>
    </x:row>
    <x:row r="17" ht="24" customHeight="1">
      <x:c r="A17" t="str">
        <x:v>LUA-MUSTER-STROH</x:v>
      </x:c>
      <x:c r="B17" t="str">
        <x:v>LUAMO Musterkarton Trinkhalme – 50 Stück</x:v>
      </x:c>
      <x:c r="C17"/>
      <x:c r="D17" t="str">
        <x:v>Muster</x:v>
      </x:c>
      <x:c r="E17" t="n">
        <x:v>50</x:v>
      </x:c>
      <x:c r="F17" t="str">
        <x:v>Musterkarton</x:v>
      </x:c>
      <x:c r="G17" t="str">
        <x:v>DE + EN als getrennte Druck-/Lagervarianten geplant</x:v>
      </x:c>
      <x:c r="H17"/>
      <x:c r="I17"/>
      <x:c r="J17"/>
      <x:c r="K17" t="str">
        <x:v>In Vorbereitung</x:v>
      </x:c>
      <x:c r="L17" t="n">
        <x:v>19</x:v>
      </x:c>
      <x:c r="M17" s="38"/>
      <x:c r="N17" s="47"/>
      <x:c r="O17" s="47"/>
      <x:c r="P17" s="47" t="n">
        <x:v>4.9</x:v>
      </x:c>
      <x:c r="Q17"/>
      <x:c r="R17"/>
      <x:c r="S17" t="str">
        <x:v>Kostenlose Musterabgabe alternativ möglich; Zusammenstellung offen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38" customHeight="1">
      <x:c r="A1" s="58" t="str">
        <x:v>SKU</x:v>
      </x:c>
      <x:c r="B1" s="58" t="str">
        <x:v>Artikel</x:v>
      </x:c>
      <x:c r="C1" s="58" t="str">
        <x:v>Verpackungsart</x:v>
      </x:c>
      <x:c r="D1" s="58" t="str">
        <x:v>Füllmenge Stk</x:v>
      </x:c>
      <x:c r="E1" s="58" t="str">
        <x:v>Gebinde L mm</x:v>
      </x:c>
      <x:c r="F1" s="58" t="str">
        <x:v>Gebinde B mm</x:v>
      </x:c>
      <x:c r="G1" s="58" t="str">
        <x:v>Gebinde H mm</x:v>
      </x:c>
      <x:c r="H1" s="58" t="str">
        <x:v>Nettoinhalt g</x:v>
      </x:c>
      <x:c r="I1" s="58" t="str">
        <x:v>Bruttogewicht g</x:v>
      </x:c>
      <x:c r="J1" s="58" t="str">
        <x:v>Umkarton Anzahl VE</x:v>
      </x:c>
      <x:c r="K1" s="58" t="str">
        <x:v>Umkarton L mm</x:v>
      </x:c>
      <x:c r="L1" s="58" t="str">
        <x:v>Umkarton B mm</x:v>
      </x:c>
      <x:c r="M1" s="58" t="str">
        <x:v>Umkarton H mm</x:v>
      </x:c>
      <x:c r="N1" s="58" t="str">
        <x:v>Umkarton brutto kg</x:v>
      </x:c>
      <x:c r="O1" s="58" t="str">
        <x:v>GTIN Umkarton</x:v>
      </x:c>
      <x:c r="P1" s="58" t="str">
        <x:v>Palette Umkartons</x:v>
      </x:c>
      <x:c r="Q1" s="58" t="str">
        <x:v>Palettenhöhe mm</x:v>
      </x:c>
      <x:c r="R1" s="58" t="str">
        <x:v>DE/EN</x:v>
      </x:c>
      <x:c r="S1" s="58" t="str">
        <x:v>Verpackungsmaterial</x:v>
      </x:c>
      <x:c r="T1" s="58" t="str">
        <x:v>Verpackungsgewicht g</x:v>
      </x:c>
      <x:c r="U1" s="58" t="str">
        <x:v>Topac Stanzkontur</x:v>
      </x:c>
      <x:c r="V1" s="58" t="str">
        <x:v>Druckfreigabe</x:v>
      </x:c>
      <x:c r="W1" s="58" t="str">
        <x:v>Status</x:v>
      </x:c>
    </x:row>
    <x:row r="2" ht="24" customHeight="1">
      <x:c r="A2" t="str">
        <x:v>LUA-SW-15-500</x:v>
      </x:c>
      <x:c r="B2" t="str">
        <x:v>LUAMO Trinkhalm schwarz 15 cm, 500 Stück/Schlauchbeutel</x:v>
      </x:c>
      <x:c r="C2" t="str">
        <x:v>Schlauchbeutel</x:v>
      </x:c>
      <x:c r="D2" t="n">
        <x:v>500</x:v>
      </x:c>
      <x:c r="E2"/>
      <x:c r="F2"/>
      <x:c r="G2"/>
      <x:c r="H2"/>
      <x:c r="I2"/>
      <x:c r="J2"/>
      <x:c r="K2"/>
      <x:c r="L2"/>
      <x:c r="M2"/>
      <x:c r="N2"/>
      <x:c r="O2"/>
      <x:c r="P2"/>
      <x:c r="Q2"/>
      <x:c r="R2" t="str">
        <x:v>DE / EN vorgesehen</x:v>
      </x:c>
      <x:c r="S2"/>
      <x:c r="T2"/>
      <x:c r="U2"/>
      <x:c r="V2"/>
      <x:c r="W2" t="str">
        <x:v>Maße offen</x:v>
      </x:c>
    </x:row>
    <x:row r="3" ht="24" customHeight="1">
      <x:c r="A3" t="str">
        <x:v>LUA-SW-20-500</x:v>
      </x:c>
      <x:c r="B3" t="str">
        <x:v>LUAMO Trinkhalm schwarz 20 cm, 500 Stück/Schlauchbeutel</x:v>
      </x:c>
      <x:c r="C3" t="str">
        <x:v>Schlauchbeutel</x:v>
      </x:c>
      <x:c r="D3" t="n">
        <x:v>500</x:v>
      </x:c>
      <x:c r="E3"/>
      <x:c r="F3"/>
      <x:c r="G3"/>
      <x:c r="H3"/>
      <x:c r="I3"/>
      <x:c r="J3"/>
      <x:c r="K3"/>
      <x:c r="L3"/>
      <x:c r="M3"/>
      <x:c r="N3"/>
      <x:c r="O3"/>
      <x:c r="P3"/>
      <x:c r="Q3"/>
      <x:c r="R3" t="str">
        <x:v>DE / EN vorgesehen</x:v>
      </x:c>
      <x:c r="S3"/>
      <x:c r="T3"/>
      <x:c r="U3"/>
      <x:c r="V3"/>
      <x:c r="W3" t="str">
        <x:v>Maße offen</x:v>
      </x:c>
    </x:row>
    <x:row r="4" ht="24" customHeight="1">
      <x:c r="A4" t="str">
        <x:v>LUA-SW-23-500</x:v>
      </x:c>
      <x:c r="B4" t="str">
        <x:v>LUAMO Trinkhalm schwarz 23 cm, 500 Stück/Schlauchbeutel</x:v>
      </x:c>
      <x:c r="C4" t="str">
        <x:v>Schlauchbeutel</x:v>
      </x:c>
      <x:c r="D4" t="n">
        <x:v>500</x:v>
      </x:c>
      <x:c r="E4"/>
      <x:c r="F4"/>
      <x:c r="G4"/>
      <x:c r="H4"/>
      <x:c r="I4"/>
      <x:c r="J4"/>
      <x:c r="K4"/>
      <x:c r="L4"/>
      <x:c r="M4"/>
      <x:c r="N4"/>
      <x:c r="O4"/>
      <x:c r="P4"/>
      <x:c r="Q4"/>
      <x:c r="R4" t="str">
        <x:v>DE / EN vorgesehen</x:v>
      </x:c>
      <x:c r="S4"/>
      <x:c r="T4"/>
      <x:c r="U4"/>
      <x:c r="V4"/>
      <x:c r="W4" t="str">
        <x:v>Maße offen</x:v>
      </x:c>
    </x:row>
    <x:row r="5" ht="24" customHeight="1">
      <x:c r="A5" t="str">
        <x:v>LUA-SW-25-500</x:v>
      </x:c>
      <x:c r="B5" t="str">
        <x:v>LUAMO Trinkhalm schwarz 25 cm, 500 Stück/Schlauchbeutel</x:v>
      </x:c>
      <x:c r="C5" t="str">
        <x:v>Schlauchbeutel</x:v>
      </x:c>
      <x:c r="D5" t="n">
        <x:v>500</x:v>
      </x:c>
      <x:c r="E5"/>
      <x:c r="F5"/>
      <x:c r="G5"/>
      <x:c r="H5"/>
      <x:c r="I5"/>
      <x:c r="J5"/>
      <x:c r="K5"/>
      <x:c r="L5"/>
      <x:c r="M5"/>
      <x:c r="N5"/>
      <x:c r="O5"/>
      <x:c r="P5"/>
      <x:c r="Q5"/>
      <x:c r="R5" t="str">
        <x:v>DE / EN vorgesehen</x:v>
      </x:c>
      <x:c r="S5"/>
      <x:c r="T5"/>
      <x:c r="U5"/>
      <x:c r="V5"/>
      <x:c r="W5" t="str">
        <x:v>Maße offen</x:v>
      </x:c>
    </x:row>
    <x:row r="6" ht="24" customHeight="1">
      <x:c r="A6" t="str">
        <x:v>LUA-SW-30-500</x:v>
      </x:c>
      <x:c r="B6" t="str">
        <x:v>LUAMO Trinkhalm schwarz 30 cm, 500 Stück/Schlauchbeutel</x:v>
      </x:c>
      <x:c r="C6" t="str">
        <x:v>Schlauchbeutel</x:v>
      </x:c>
      <x:c r="D6" t="n">
        <x:v>500</x:v>
      </x:c>
      <x:c r="E6"/>
      <x:c r="F6"/>
      <x:c r="G6"/>
      <x:c r="H6"/>
      <x:c r="I6"/>
      <x:c r="J6"/>
      <x:c r="K6"/>
      <x:c r="L6"/>
      <x:c r="M6"/>
      <x:c r="N6"/>
      <x:c r="O6"/>
      <x:c r="P6"/>
      <x:c r="Q6"/>
      <x:c r="R6" t="str">
        <x:v>DE / EN vorgesehen</x:v>
      </x:c>
      <x:c r="S6"/>
      <x:c r="T6"/>
      <x:c r="U6"/>
      <x:c r="V6"/>
      <x:c r="W6" t="str">
        <x:v>Maße offen</x:v>
      </x:c>
    </x:row>
    <x:row r="7" ht="24" customHeight="1">
      <x:c r="A7" t="str">
        <x:v>LUA-SW-15-100</x:v>
      </x:c>
      <x:c r="B7" t="str">
        <x:v>LUAMO Trinkhalm schwarz 15 cm, 100 Stück/Karton</x:v>
      </x:c>
      <x:c r="C7" t="str">
        <x:v>Karton</x:v>
      </x:c>
      <x:c r="D7" t="n">
        <x:v>100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 t="str">
        <x:v>DE / EN vorgesehen</x:v>
      </x:c>
      <x:c r="S7"/>
      <x:c r="T7"/>
      <x:c r="U7"/>
      <x:c r="V7"/>
      <x:c r="W7" t="str">
        <x:v>Maße offen</x:v>
      </x:c>
    </x:row>
    <x:row r="8" ht="24" customHeight="1">
      <x:c r="A8" t="str">
        <x:v>LUA-SW-20-100</x:v>
      </x:c>
      <x:c r="B8" t="str">
        <x:v>LUAMO Trinkhalm schwarz 20 cm, 100 Stück/Karton</x:v>
      </x:c>
      <x:c r="C8" t="str">
        <x:v>Karton</x:v>
      </x:c>
      <x:c r="D8" t="n">
        <x:v>100</x:v>
      </x:c>
      <x:c r="E8"/>
      <x:c r="F8"/>
      <x:c r="G8"/>
      <x:c r="H8"/>
      <x:c r="I8"/>
      <x:c r="J8"/>
      <x:c r="K8"/>
      <x:c r="L8"/>
      <x:c r="M8"/>
      <x:c r="N8"/>
      <x:c r="O8"/>
      <x:c r="P8"/>
      <x:c r="Q8"/>
      <x:c r="R8" t="str">
        <x:v>DE / EN vorgesehen</x:v>
      </x:c>
      <x:c r="S8"/>
      <x:c r="T8"/>
      <x:c r="U8"/>
      <x:c r="V8"/>
      <x:c r="W8" t="str">
        <x:v>Maße offen</x:v>
      </x:c>
    </x:row>
    <x:row r="9" ht="24" customHeight="1">
      <x:c r="A9" t="str">
        <x:v>LUA-SW-20-050</x:v>
      </x:c>
      <x:c r="B9" t="str">
        <x:v>LUAMO Trinkhalm schwarz 20 cm, 50 Stück/Karton</x:v>
      </x:c>
      <x:c r="C9" t="str">
        <x:v>Karton</x:v>
      </x:c>
      <x:c r="D9" t="n">
        <x:v>50</x:v>
      </x:c>
      <x:c r="E9"/>
      <x:c r="F9"/>
      <x:c r="G9"/>
      <x:c r="H9"/>
      <x:c r="I9"/>
      <x:c r="J9"/>
      <x:c r="K9"/>
      <x:c r="L9"/>
      <x:c r="M9"/>
      <x:c r="N9"/>
      <x:c r="O9"/>
      <x:c r="P9"/>
      <x:c r="Q9"/>
      <x:c r="R9" t="str">
        <x:v>DE / EN vorgesehen</x:v>
      </x:c>
      <x:c r="S9"/>
      <x:c r="T9"/>
      <x:c r="U9"/>
      <x:c r="V9"/>
      <x:c r="W9" t="str">
        <x:v>Maße offen</x:v>
      </x:c>
    </x:row>
    <x:row r="10" ht="24" customHeight="1">
      <x:c r="A10" t="str">
        <x:v>LUA-GB-GABEL-150</x:v>
      </x:c>
      <x:c r="B10" t="str">
        <x:v>LUAMO Gabel – 150er-Karton</x:v>
      </x:c>
      <x:c r="C10" t="str">
        <x:v>Karton</x:v>
      </x:c>
      <x:c r="D10" t="n">
        <x:v>150</x:v>
      </x:c>
      <x:c r="E10"/>
      <x:c r="F10"/>
      <x:c r="G10"/>
      <x:c r="H10"/>
      <x:c r="I10"/>
      <x:c r="J10" t="n">
        <x:v>40</x:v>
      </x:c>
      <x:c r="K10"/>
      <x:c r="L10"/>
      <x:c r="M10"/>
      <x:c r="N10"/>
      <x:c r="O10"/>
      <x:c r="P10" t="n">
        <x:v>20</x:v>
      </x:c>
      <x:c r="Q10"/>
      <x:c r="R10" t="str">
        <x:v>DE / EN vorgesehen</x:v>
      </x:c>
      <x:c r="S10"/>
      <x:c r="T10"/>
      <x:c r="U10"/>
      <x:c r="V10"/>
      <x:c r="W10" t="str">
        <x:v>Maße offen</x:v>
      </x:c>
    </x:row>
    <x:row r="11" ht="24" customHeight="1">
      <x:c r="A11" t="str">
        <x:v>LUA-GB-LOEFFEL-150</x:v>
      </x:c>
      <x:c r="B11" t="str">
        <x:v>LUAMO Löffel – 150er-Karton</x:v>
      </x:c>
      <x:c r="C11" t="str">
        <x:v>Karton</x:v>
      </x:c>
      <x:c r="D11" t="n">
        <x:v>150</x:v>
      </x:c>
      <x:c r="E11"/>
      <x:c r="F11"/>
      <x:c r="G11"/>
      <x:c r="H11"/>
      <x:c r="I11"/>
      <x:c r="J11" t="n">
        <x:v>40</x:v>
      </x:c>
      <x:c r="K11"/>
      <x:c r="L11"/>
      <x:c r="M11"/>
      <x:c r="N11"/>
      <x:c r="O11"/>
      <x:c r="P11" t="n">
        <x:v>20</x:v>
      </x:c>
      <x:c r="Q11"/>
      <x:c r="R11" t="str">
        <x:v>DE / EN vorgesehen</x:v>
      </x:c>
      <x:c r="S11"/>
      <x:c r="T11"/>
      <x:c r="U11"/>
      <x:c r="V11"/>
      <x:c r="W11" t="str">
        <x:v>Maße offen</x:v>
      </x:c>
    </x:row>
    <x:row r="12" ht="24" customHeight="1">
      <x:c r="A12" t="str">
        <x:v>LUA-GB-MESSER-150</x:v>
      </x:c>
      <x:c r="B12" t="str">
        <x:v>LUAMO Messer – 150er-Karton</x:v>
      </x:c>
      <x:c r="C12" t="str">
        <x:v>Karton</x:v>
      </x:c>
      <x:c r="D12" t="n">
        <x:v>150</x:v>
      </x:c>
      <x:c r="E12"/>
      <x:c r="F12"/>
      <x:c r="G12"/>
      <x:c r="H12"/>
      <x:c r="I12"/>
      <x:c r="J12" t="n">
        <x:v>40</x:v>
      </x:c>
      <x:c r="K12"/>
      <x:c r="L12"/>
      <x:c r="M12"/>
      <x:c r="N12"/>
      <x:c r="O12"/>
      <x:c r="P12" t="n">
        <x:v>20</x:v>
      </x:c>
      <x:c r="Q12"/>
      <x:c r="R12" t="str">
        <x:v>DE / EN vorgesehen</x:v>
      </x:c>
      <x:c r="S12"/>
      <x:c r="T12"/>
      <x:c r="U12"/>
      <x:c r="V12"/>
      <x:c r="W12" t="str">
        <x:v>Maße offen</x:v>
      </x:c>
    </x:row>
    <x:row r="13" ht="24" customHeight="1">
      <x:c r="A13" t="str">
        <x:v>LUA-GB-MIX-150</x:v>
      </x:c>
      <x:c r="B13" t="str">
        <x:v>LUAMO Großbesteck Mix – 150er-Karton</x:v>
      </x:c>
      <x:c r="C13" t="str">
        <x:v>Karton</x:v>
      </x:c>
      <x:c r="D13" t="n">
        <x:v>150</x:v>
      </x:c>
      <x:c r="E13"/>
      <x:c r="F13"/>
      <x:c r="G13"/>
      <x:c r="H13"/>
      <x:c r="I13"/>
      <x:c r="J13" t="n">
        <x:v>40</x:v>
      </x:c>
      <x:c r="K13"/>
      <x:c r="L13"/>
      <x:c r="M13"/>
      <x:c r="N13"/>
      <x:c r="O13"/>
      <x:c r="P13" t="n">
        <x:v>20</x:v>
      </x:c>
      <x:c r="Q13"/>
      <x:c r="R13" t="str">
        <x:v>DE / EN vorgesehen</x:v>
      </x:c>
      <x:c r="S13"/>
      <x:c r="T13"/>
      <x:c r="U13"/>
      <x:c r="V13"/>
      <x:c r="W13" t="str">
        <x:v>Maße offen</x:v>
      </x:c>
    </x:row>
    <x:row r="14" ht="24" customHeight="1">
      <x:c r="A14" t="str">
        <x:v>LUA-KB-EIS-500</x:v>
      </x:c>
      <x:c r="B14" t="str">
        <x:v>LUAMO Eislöffel – 500er-Karton</x:v>
      </x:c>
      <x:c r="C14" t="str">
        <x:v>Karton</x:v>
      </x:c>
      <x:c r="D14" t="n">
        <x:v>500</x:v>
      </x:c>
      <x:c r="E14"/>
      <x:c r="F14"/>
      <x:c r="G14"/>
      <x:c r="H14"/>
      <x:c r="I14"/>
      <x:c r="J14" t="n">
        <x:v>40</x:v>
      </x:c>
      <x:c r="K14"/>
      <x:c r="L14"/>
      <x:c r="M14"/>
      <x:c r="N14"/>
      <x:c r="O14"/>
      <x:c r="P14" t="n">
        <x:v>20</x:v>
      </x:c>
      <x:c r="Q14"/>
      <x:c r="R14" t="str">
        <x:v>DE / EN vorgesehen</x:v>
      </x:c>
      <x:c r="S14"/>
      <x:c r="T14"/>
      <x:c r="U14"/>
      <x:c r="V14"/>
      <x:c r="W14" t="str">
        <x:v>Maße offen</x:v>
      </x:c>
    </x:row>
    <x:row r="15" ht="24" customHeight="1">
      <x:c r="A15" t="str">
        <x:v>LUA-KB-POMMES-500</x:v>
      </x:c>
      <x:c r="B15" t="str">
        <x:v>LUAMO Pommespicker – 500er-Karton</x:v>
      </x:c>
      <x:c r="C15" t="str">
        <x:v>Karton</x:v>
      </x:c>
      <x:c r="D15" t="n">
        <x:v>500</x:v>
      </x:c>
      <x:c r="E15"/>
      <x:c r="F15"/>
      <x:c r="G15"/>
      <x:c r="H15"/>
      <x:c r="I15"/>
      <x:c r="J15" t="n">
        <x:v>40</x:v>
      </x:c>
      <x:c r="K15"/>
      <x:c r="L15"/>
      <x:c r="M15"/>
      <x:c r="N15"/>
      <x:c r="O15"/>
      <x:c r="P15" t="n">
        <x:v>20</x:v>
      </x:c>
      <x:c r="Q15"/>
      <x:c r="R15" t="str">
        <x:v>DE / EN vorgesehen</x:v>
      </x:c>
      <x:c r="S15"/>
      <x:c r="T15"/>
      <x:c r="U15"/>
      <x:c r="V15"/>
      <x:c r="W15" t="str">
        <x:v>Maße offen</x:v>
      </x:c>
    </x:row>
    <x:row r="16" ht="24" customHeight="1">
      <x:c r="A16" t="str">
        <x:v>LUA-MUSTER-BESTECK</x:v>
      </x:c>
      <x:c r="B16" t="str">
        <x:v>LUAMO Musterkarton Besteck</x:v>
      </x:c>
      <x:c r="C16" t="str">
        <x:v>Musterkarton</x:v>
      </x:c>
      <x:c r="D16"/>
      <x:c r="E16"/>
      <x:c r="F16"/>
      <x:c r="G16"/>
      <x:c r="H16"/>
      <x:c r="I16"/>
      <x:c r="J16"/>
      <x:c r="K16"/>
      <x:c r="L16" t="str">
        <x:v>Je Musterkarton 1 Besteck-Beileger; DE oder EN passend zur Druckversion</x:v>
      </x:c>
      <x:c r="M16"/>
      <x:c r="N16"/>
      <x:c r="O16"/>
      <x:c r="P16"/>
      <x:c r="Q16"/>
      <x:c r="R16" t="str">
        <x:v>DE / EN vorgesehen</x:v>
      </x:c>
      <x:c r="S16"/>
      <x:c r="T16"/>
      <x:c r="U16"/>
      <x:c r="V16"/>
      <x:c r="W16" t="str">
        <x:v>Maße offen</x:v>
      </x:c>
    </x:row>
    <x:row r="17" ht="24" customHeight="1">
      <x:c r="A17" t="str">
        <x:v>LUA-MUSTER-STROH</x:v>
      </x:c>
      <x:c r="B17" t="str">
        <x:v>LUAMO Musterkarton Trinkhalme – 50 Stück</x:v>
      </x:c>
      <x:c r="C17" t="str">
        <x:v>Musterkarton</x:v>
      </x:c>
      <x:c r="D17" t="n">
        <x:v>50</x:v>
      </x:c>
      <x:c r="E17"/>
      <x:c r="F17"/>
      <x:c r="G17"/>
      <x:c r="H17"/>
      <x:c r="I17"/>
      <x:c r="J17"/>
      <x:c r="K17"/>
      <x:c r="L17" t="str">
        <x:v>Je Musterkarton 1 Trinkhalm-Flyer; DE oder EN passend zur Druckversion</x:v>
      </x:c>
      <x:c r="M17"/>
      <x:c r="N17"/>
      <x:c r="O17"/>
      <x:c r="P17"/>
      <x:c r="Q17"/>
      <x:c r="R17" t="str">
        <x:v>DE / EN vorgesehen</x:v>
      </x:c>
      <x:c r="S17"/>
      <x:c r="T17"/>
      <x:c r="U17"/>
      <x:c r="V17"/>
      <x:c r="W17" t="str">
        <x:v>Maße offen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38" customHeight="1">
      <x:c r="A1" s="58" t="str">
        <x:v>SKU</x:v>
      </x:c>
      <x:c r="B1" s="58" t="str">
        <x:v>Lebensmittelkontakt vorgesehen</x:v>
      </x:c>
      <x:c r="C1" s="58" t="str">
        <x:v>Werkstoff/Materialtyp</x:v>
      </x:c>
      <x:c r="D1" s="58" t="str">
        <x:v>Materialhersteller</x:v>
      </x:c>
      <x:c r="E1" s="58" t="str">
        <x:v>Spezifikation Version</x:v>
      </x:c>
      <x:c r="F1" s="58" t="str">
        <x:v>FCM Nachweisstatus</x:v>
      </x:c>
      <x:c r="G1" s="58" t="str">
        <x:v>Migration / Prüfbericht</x:v>
      </x:c>
      <x:c r="H1" s="58" t="str">
        <x:v>Einsatztemperatur</x:v>
      </x:c>
      <x:c r="I1" s="58" t="str">
        <x:v>SUPD Kunststoff-Einstufung</x:v>
      </x:c>
      <x:c r="J1" s="58" t="str">
        <x:v>Claims (Entwurf)</x:v>
      </x:c>
      <x:c r="K1" s="58" t="str">
        <x:v>Claim-Nachweis</x:v>
      </x:c>
      <x:c r="L1" s="58" t="str">
        <x:v>EmpCo Prüfung</x:v>
      </x:c>
      <x:c r="M1" s="58" t="str">
        <x:v>PPWR Verpackung</x:v>
      </x:c>
      <x:c r="N1" s="58" t="str">
        <x:v>LUCID / Beteiligung</x:v>
      </x:c>
      <x:c r="O1" s="58" t="str">
        <x:v>GPSR Herstellerkontakt</x:v>
      </x:c>
      <x:c r="P1" s="58" t="str">
        <x:v>Charge Rückverfolgung</x:v>
      </x:c>
      <x:c r="Q1" s="58" t="str">
        <x:v>Kennzeichnung DE</x:v>
      </x:c>
      <x:c r="R1" s="58" t="str">
        <x:v>Kennzeichnung EN</x:v>
      </x:c>
      <x:c r="S1" s="58" t="str">
        <x:v>Rechtsfreigabe</x:v>
      </x:c>
      <x:c r="T1" s="58" t="str">
        <x:v>Verantwortlich</x:v>
      </x:c>
      <x:c r="U1" s="58" t="str">
        <x:v>Letzte Prüfung</x:v>
      </x:c>
    </x:row>
    <x:row r="2" ht="24" customHeight="1">
      <x:c r="A2" t="str">
        <x:v>LUA-SW-15-500</x:v>
      </x:c>
      <x:c r="B2" t="str">
        <x:v>Ja</x:v>
      </x:c>
      <x:c r="C2" t="str">
        <x:v>ARBOBLEND 5953 M – zu bestätigen</x:v>
      </x:c>
      <x:c r="D2"/>
      <x:c r="E2"/>
      <x:c r="F2" t="str">
        <x:v>Offen</x:v>
      </x:c>
      <x:c r="G2"/>
      <x:c r="H2"/>
      <x:c r="I2" t="str">
        <x:v>Offen</x:v>
      </x:c>
      <x:c r="J2" t="str">
        <x:v>Keine ungeprüften Aussagen</x:v>
      </x:c>
      <x:c r="K2"/>
      <x:c r="L2" t="str">
        <x:v>Offen</x:v>
      </x:c>
      <x:c r="M2" t="str">
        <x:v>Offen</x:v>
      </x:c>
      <x:c r="N2" t="str">
        <x:v>Offen</x:v>
      </x:c>
      <x:c r="O2" t="str">
        <x:v>Offen</x:v>
      </x:c>
      <x:c r="P2" t="str">
        <x:v>Offen</x:v>
      </x:c>
      <x:c r="Q2" t="str">
        <x:v>Offen</x:v>
      </x:c>
      <x:c r="R2" t="str">
        <x:v>Offen</x:v>
      </x:c>
      <x:c r="S2" t="str">
        <x:v>Nicht freigegeben</x:v>
      </x:c>
      <x:c r="T2" t="str">
        <x:v>Boi / Prüfung</x:v>
      </x:c>
      <x:c r="U2" t="str"/>
    </x:row>
    <x:row r="3" ht="24" customHeight="1">
      <x:c r="A3" t="str">
        <x:v>LUA-SW-20-500</x:v>
      </x:c>
      <x:c r="B3" t="str">
        <x:v>Ja</x:v>
      </x:c>
      <x:c r="C3" t="str">
        <x:v>ARBOBLEND 5953 M – zu bestätigen</x:v>
      </x:c>
      <x:c r="D3"/>
      <x:c r="E3"/>
      <x:c r="F3" t="str">
        <x:v>Offen</x:v>
      </x:c>
      <x:c r="G3"/>
      <x:c r="H3"/>
      <x:c r="I3" t="str">
        <x:v>Offen</x:v>
      </x:c>
      <x:c r="J3" t="str">
        <x:v>Keine ungeprüften Aussagen</x:v>
      </x:c>
      <x:c r="K3"/>
      <x:c r="L3" t="str">
        <x:v>Offen</x:v>
      </x:c>
      <x:c r="M3" t="str">
        <x:v>Offen</x:v>
      </x:c>
      <x:c r="N3" t="str">
        <x:v>Offen</x:v>
      </x:c>
      <x:c r="O3" t="str">
        <x:v>Offen</x:v>
      </x:c>
      <x:c r="P3" t="str">
        <x:v>Offen</x:v>
      </x:c>
      <x:c r="Q3" t="str">
        <x:v>Offen</x:v>
      </x:c>
      <x:c r="R3" t="str">
        <x:v>Offen</x:v>
      </x:c>
      <x:c r="S3" t="str">
        <x:v>Nicht freigegeben</x:v>
      </x:c>
      <x:c r="T3" t="str">
        <x:v>Boi / Prüfung</x:v>
      </x:c>
      <x:c r="U3" t="str"/>
    </x:row>
    <x:row r="4" ht="24" customHeight="1">
      <x:c r="A4" t="str">
        <x:v>LUA-SW-23-500</x:v>
      </x:c>
      <x:c r="B4" t="str">
        <x:v>Ja</x:v>
      </x:c>
      <x:c r="C4" t="str">
        <x:v>ARBOBLEND 5953 M – zu bestätigen</x:v>
      </x:c>
      <x:c r="D4"/>
      <x:c r="E4"/>
      <x:c r="F4" t="str">
        <x:v>Offen</x:v>
      </x:c>
      <x:c r="G4"/>
      <x:c r="H4"/>
      <x:c r="I4" t="str">
        <x:v>Offen</x:v>
      </x:c>
      <x:c r="J4" t="str">
        <x:v>Keine ungeprüften Aussagen</x:v>
      </x:c>
      <x:c r="K4"/>
      <x:c r="L4" t="str">
        <x:v>Offen</x:v>
      </x:c>
      <x:c r="M4" t="str">
        <x:v>Offen</x:v>
      </x:c>
      <x:c r="N4" t="str">
        <x:v>Offen</x:v>
      </x:c>
      <x:c r="O4" t="str">
        <x:v>Offen</x:v>
      </x:c>
      <x:c r="P4" t="str">
        <x:v>Offen</x:v>
      </x:c>
      <x:c r="Q4" t="str">
        <x:v>Offen</x:v>
      </x:c>
      <x:c r="R4" t="str">
        <x:v>Offen</x:v>
      </x:c>
      <x:c r="S4" t="str">
        <x:v>Nicht freigegeben</x:v>
      </x:c>
      <x:c r="T4" t="str">
        <x:v>Boi / Prüfung</x:v>
      </x:c>
      <x:c r="U4" t="str"/>
    </x:row>
    <x:row r="5" ht="24" customHeight="1">
      <x:c r="A5" t="str">
        <x:v>LUA-SW-25-500</x:v>
      </x:c>
      <x:c r="B5" t="str">
        <x:v>Ja</x:v>
      </x:c>
      <x:c r="C5" t="str">
        <x:v>ARBOBLEND 5953 M – zu bestätigen</x:v>
      </x:c>
      <x:c r="D5"/>
      <x:c r="E5"/>
      <x:c r="F5" t="str">
        <x:v>Offen</x:v>
      </x:c>
      <x:c r="G5"/>
      <x:c r="H5"/>
      <x:c r="I5" t="str">
        <x:v>Offen</x:v>
      </x:c>
      <x:c r="J5" t="str">
        <x:v>Keine ungeprüften Aussagen</x:v>
      </x:c>
      <x:c r="K5"/>
      <x:c r="L5" t="str">
        <x:v>Offen</x:v>
      </x:c>
      <x:c r="M5" t="str">
        <x:v>Offen</x:v>
      </x:c>
      <x:c r="N5" t="str">
        <x:v>Offen</x:v>
      </x:c>
      <x:c r="O5" t="str">
        <x:v>Offen</x:v>
      </x:c>
      <x:c r="P5" t="str">
        <x:v>Offen</x:v>
      </x:c>
      <x:c r="Q5" t="str">
        <x:v>Offen</x:v>
      </x:c>
      <x:c r="R5" t="str">
        <x:v>Offen</x:v>
      </x:c>
      <x:c r="S5" t="str">
        <x:v>Nicht freigegeben</x:v>
      </x:c>
      <x:c r="T5" t="str">
        <x:v>Boi / Prüfung</x:v>
      </x:c>
      <x:c r="U5" t="str"/>
    </x:row>
    <x:row r="6" ht="24" customHeight="1">
      <x:c r="A6" t="str">
        <x:v>LUA-SW-30-500</x:v>
      </x:c>
      <x:c r="B6" t="str">
        <x:v>Ja</x:v>
      </x:c>
      <x:c r="C6" t="str">
        <x:v>ARBOBLEND 5953 M – zu bestätigen</x:v>
      </x:c>
      <x:c r="D6"/>
      <x:c r="E6"/>
      <x:c r="F6" t="str">
        <x:v>Offen</x:v>
      </x:c>
      <x:c r="G6"/>
      <x:c r="H6"/>
      <x:c r="I6" t="str">
        <x:v>Offen</x:v>
      </x:c>
      <x:c r="J6" t="str">
        <x:v>Keine ungeprüften Aussagen</x:v>
      </x:c>
      <x:c r="K6"/>
      <x:c r="L6" t="str">
        <x:v>Offen</x:v>
      </x:c>
      <x:c r="M6" t="str">
        <x:v>Offen</x:v>
      </x:c>
      <x:c r="N6" t="str">
        <x:v>Offen</x:v>
      </x:c>
      <x:c r="O6" t="str">
        <x:v>Offen</x:v>
      </x:c>
      <x:c r="P6" t="str">
        <x:v>Offen</x:v>
      </x:c>
      <x:c r="Q6" t="str">
        <x:v>Offen</x:v>
      </x:c>
      <x:c r="R6" t="str">
        <x:v>Offen</x:v>
      </x:c>
      <x:c r="S6" t="str">
        <x:v>Nicht freigegeben</x:v>
      </x:c>
      <x:c r="T6" t="str">
        <x:v>Boi / Prüfung</x:v>
      </x:c>
      <x:c r="U6" t="str"/>
    </x:row>
    <x:row r="7" ht="24" customHeight="1">
      <x:c r="A7" t="str">
        <x:v>LUA-SW-15-100</x:v>
      </x:c>
      <x:c r="B7" t="str">
        <x:v>Ja</x:v>
      </x:c>
      <x:c r="C7" t="str">
        <x:v>ARBOBLEND 5953 M – zu bestätigen</x:v>
      </x:c>
      <x:c r="D7"/>
      <x:c r="E7"/>
      <x:c r="F7" t="str">
        <x:v>Offen</x:v>
      </x:c>
      <x:c r="G7"/>
      <x:c r="H7"/>
      <x:c r="I7" t="str">
        <x:v>Offen</x:v>
      </x:c>
      <x:c r="J7" t="str">
        <x:v>Keine ungeprüften Aussagen</x:v>
      </x:c>
      <x:c r="K7"/>
      <x:c r="L7" t="str">
        <x:v>Offen</x:v>
      </x:c>
      <x:c r="M7" t="str">
        <x:v>Offen</x:v>
      </x:c>
      <x:c r="N7" t="str">
        <x:v>Offen</x:v>
      </x:c>
      <x:c r="O7" t="str">
        <x:v>Offen</x:v>
      </x:c>
      <x:c r="P7" t="str">
        <x:v>Offen</x:v>
      </x:c>
      <x:c r="Q7" t="str">
        <x:v>Offen</x:v>
      </x:c>
      <x:c r="R7" t="str">
        <x:v>Offen</x:v>
      </x:c>
      <x:c r="S7" t="str">
        <x:v>Nicht freigegeben</x:v>
      </x:c>
      <x:c r="T7" t="str">
        <x:v>Boi / Prüfung</x:v>
      </x:c>
      <x:c r="U7" t="str"/>
    </x:row>
    <x:row r="8" ht="24" customHeight="1">
      <x:c r="A8" t="str">
        <x:v>LUA-SW-20-100</x:v>
      </x:c>
      <x:c r="B8" t="str">
        <x:v>Ja</x:v>
      </x:c>
      <x:c r="C8" t="str">
        <x:v>ARBOBLEND 5953 M – zu bestätigen</x:v>
      </x:c>
      <x:c r="D8"/>
      <x:c r="E8"/>
      <x:c r="F8" t="str">
        <x:v>Offen</x:v>
      </x:c>
      <x:c r="G8"/>
      <x:c r="H8"/>
      <x:c r="I8" t="str">
        <x:v>Offen</x:v>
      </x:c>
      <x:c r="J8" t="str">
        <x:v>Keine ungeprüften Aussagen</x:v>
      </x:c>
      <x:c r="K8"/>
      <x:c r="L8" t="str">
        <x:v>Offen</x:v>
      </x:c>
      <x:c r="M8" t="str">
        <x:v>Offen</x:v>
      </x:c>
      <x:c r="N8" t="str">
        <x:v>Offen</x:v>
      </x:c>
      <x:c r="O8" t="str">
        <x:v>Offen</x:v>
      </x:c>
      <x:c r="P8" t="str">
        <x:v>Offen</x:v>
      </x:c>
      <x:c r="Q8" t="str">
        <x:v>Offen</x:v>
      </x:c>
      <x:c r="R8" t="str">
        <x:v>Offen</x:v>
      </x:c>
      <x:c r="S8" t="str">
        <x:v>Nicht freigegeben</x:v>
      </x:c>
      <x:c r="T8" t="str">
        <x:v>Boi / Prüfung</x:v>
      </x:c>
      <x:c r="U8" t="str"/>
    </x:row>
    <x:row r="9" ht="24" customHeight="1">
      <x:c r="A9" t="str">
        <x:v>LUA-SW-20-050</x:v>
      </x:c>
      <x:c r="B9" t="str">
        <x:v>Ja</x:v>
      </x:c>
      <x:c r="C9" t="str">
        <x:v>ARBOBLEND 5953 M – zu bestätigen</x:v>
      </x:c>
      <x:c r="D9"/>
      <x:c r="E9"/>
      <x:c r="F9" t="str">
        <x:v>Offen</x:v>
      </x:c>
      <x:c r="G9"/>
      <x:c r="H9"/>
      <x:c r="I9" t="str">
        <x:v>Offen</x:v>
      </x:c>
      <x:c r="J9" t="str">
        <x:v>Keine ungeprüften Aussagen</x:v>
      </x:c>
      <x:c r="K9"/>
      <x:c r="L9" t="str">
        <x:v>Offen</x:v>
      </x:c>
      <x:c r="M9" t="str">
        <x:v>Offen</x:v>
      </x:c>
      <x:c r="N9" t="str">
        <x:v>Offen</x:v>
      </x:c>
      <x:c r="O9" t="str">
        <x:v>Offen</x:v>
      </x:c>
      <x:c r="P9" t="str">
        <x:v>Offen</x:v>
      </x:c>
      <x:c r="Q9" t="str">
        <x:v>Offen</x:v>
      </x:c>
      <x:c r="R9" t="str">
        <x:v>Offen</x:v>
      </x:c>
      <x:c r="S9" t="str">
        <x:v>Nicht freigegeben</x:v>
      </x:c>
      <x:c r="T9" t="str">
        <x:v>Boi / Prüfung</x:v>
      </x:c>
      <x:c r="U9" t="str"/>
    </x:row>
    <x:row r="10" ht="24" customHeight="1">
      <x:c r="A10" t="str">
        <x:v>LUA-GB-GABEL-150</x:v>
      </x:c>
      <x:c r="B10" t="str">
        <x:v>Ja</x:v>
      </x:c>
      <x:c r="C10" t="str">
        <x:v>Traceless – konkrete Type offen</x:v>
      </x:c>
      <x:c r="D10" t="str">
        <x:v>Comprisetec (Material-/Engineeringpartner; Rohstoffhersteller noch prüfen)</x:v>
      </x:c>
      <x:c r="E10"/>
      <x:c r="F10" t="str">
        <x:v>Offen</x:v>
      </x:c>
      <x:c r="G10"/>
      <x:c r="H10"/>
      <x:c r="I10" t="str">
        <x:v>Offen</x:v>
      </x:c>
      <x:c r="J10" t="str">
        <x:v>Keine ungeprüften Aussagen</x:v>
      </x:c>
      <x:c r="K10"/>
      <x:c r="L10" t="str">
        <x:v>Offen</x:v>
      </x:c>
      <x:c r="M10" t="str">
        <x:v>Offen</x:v>
      </x:c>
      <x:c r="N10" t="str">
        <x:v>Offen</x:v>
      </x:c>
      <x:c r="O10" t="str">
        <x:v>Offen</x:v>
      </x:c>
      <x:c r="P10" t="str">
        <x:v>Offen</x:v>
      </x:c>
      <x:c r="Q10" t="str">
        <x:v>Offen</x:v>
      </x:c>
      <x:c r="R10" t="str">
        <x:v>Offen</x:v>
      </x:c>
      <x:c r="S10" t="str">
        <x:v>Nicht freigegeben</x:v>
      </x:c>
      <x:c r="T10" t="str">
        <x:v>Boi / Prüfung</x:v>
      </x:c>
      <x:c r="U10" t="str"/>
    </x:row>
    <x:row r="11" ht="24" customHeight="1">
      <x:c r="A11" t="str">
        <x:v>LUA-GB-LOEFFEL-150</x:v>
      </x:c>
      <x:c r="B11" t="str">
        <x:v>Ja</x:v>
      </x:c>
      <x:c r="C11" t="str">
        <x:v>Traceless – konkrete Type offen</x:v>
      </x:c>
      <x:c r="D11" t="str">
        <x:v>Comprisetec (Material-/Engineeringpartner; Rohstoffhersteller noch prüfen)</x:v>
      </x:c>
      <x:c r="E11"/>
      <x:c r="F11" t="str">
        <x:v>Offen</x:v>
      </x:c>
      <x:c r="G11"/>
      <x:c r="H11"/>
      <x:c r="I11" t="str">
        <x:v>Offen</x:v>
      </x:c>
      <x:c r="J11" t="str">
        <x:v>Keine ungeprüften Aussagen</x:v>
      </x:c>
      <x:c r="K11"/>
      <x:c r="L11" t="str">
        <x:v>Offen</x:v>
      </x:c>
      <x:c r="M11" t="str">
        <x:v>Offen</x:v>
      </x:c>
      <x:c r="N11" t="str">
        <x:v>Offen</x:v>
      </x:c>
      <x:c r="O11" t="str">
        <x:v>Offen</x:v>
      </x:c>
      <x:c r="P11" t="str">
        <x:v>Offen</x:v>
      </x:c>
      <x:c r="Q11" t="str">
        <x:v>Offen</x:v>
      </x:c>
      <x:c r="R11" t="str">
        <x:v>Offen</x:v>
      </x:c>
      <x:c r="S11" t="str">
        <x:v>Nicht freigegeben</x:v>
      </x:c>
      <x:c r="T11" t="str">
        <x:v>Boi / Prüfung</x:v>
      </x:c>
      <x:c r="U11" t="str"/>
    </x:row>
    <x:row r="12" ht="24" customHeight="1">
      <x:c r="A12" t="str">
        <x:v>LUA-GB-MESSER-150</x:v>
      </x:c>
      <x:c r="B12" t="str">
        <x:v>Ja</x:v>
      </x:c>
      <x:c r="C12" t="str">
        <x:v>Traceless – konkrete Type offen</x:v>
      </x:c>
      <x:c r="D12" t="str">
        <x:v>Comprisetec (Material-/Engineeringpartner; Rohstoffhersteller noch prüfen)</x:v>
      </x:c>
      <x:c r="E12"/>
      <x:c r="F12" t="str">
        <x:v>Offen</x:v>
      </x:c>
      <x:c r="G12"/>
      <x:c r="H12"/>
      <x:c r="I12" t="str">
        <x:v>Offen</x:v>
      </x:c>
      <x:c r="J12" t="str">
        <x:v>Keine ungeprüften Aussagen</x:v>
      </x:c>
      <x:c r="K12"/>
      <x:c r="L12" t="str">
        <x:v>Offen</x:v>
      </x:c>
      <x:c r="M12" t="str">
        <x:v>Offen</x:v>
      </x:c>
      <x:c r="N12" t="str">
        <x:v>Offen</x:v>
      </x:c>
      <x:c r="O12" t="str">
        <x:v>Offen</x:v>
      </x:c>
      <x:c r="P12" t="str">
        <x:v>Offen</x:v>
      </x:c>
      <x:c r="Q12" t="str">
        <x:v>Offen</x:v>
      </x:c>
      <x:c r="R12" t="str">
        <x:v>Offen</x:v>
      </x:c>
      <x:c r="S12" t="str">
        <x:v>Nicht freigegeben</x:v>
      </x:c>
      <x:c r="T12" t="str">
        <x:v>Boi / Prüfung</x:v>
      </x:c>
      <x:c r="U12" t="str"/>
    </x:row>
    <x:row r="13" ht="24" customHeight="1">
      <x:c r="A13" t="str">
        <x:v>LUA-GB-MIX-150</x:v>
      </x:c>
      <x:c r="B13" t="str">
        <x:v>Ja</x:v>
      </x:c>
      <x:c r="C13" t="str">
        <x:v>Traceless – konkrete Type offen</x:v>
      </x:c>
      <x:c r="D13" t="str">
        <x:v>Comprisetec (Material-/Engineeringpartner; Rohstoffhersteller noch prüfen)</x:v>
      </x:c>
      <x:c r="E13"/>
      <x:c r="F13" t="str">
        <x:v>Offen</x:v>
      </x:c>
      <x:c r="G13"/>
      <x:c r="H13"/>
      <x:c r="I13" t="str">
        <x:v>Offen</x:v>
      </x:c>
      <x:c r="J13" t="str">
        <x:v>Keine ungeprüften Aussagen</x:v>
      </x:c>
      <x:c r="K13"/>
      <x:c r="L13" t="str">
        <x:v>Offen</x:v>
      </x:c>
      <x:c r="M13" t="str">
        <x:v>Offen</x:v>
      </x:c>
      <x:c r="N13" t="str">
        <x:v>Offen</x:v>
      </x:c>
      <x:c r="O13" t="str">
        <x:v>Offen</x:v>
      </x:c>
      <x:c r="P13" t="str">
        <x:v>Offen</x:v>
      </x:c>
      <x:c r="Q13" t="str">
        <x:v>Offen</x:v>
      </x:c>
      <x:c r="R13" t="str">
        <x:v>Offen</x:v>
      </x:c>
      <x:c r="S13" t="str">
        <x:v>Nicht freigegeben</x:v>
      </x:c>
      <x:c r="T13" t="str">
        <x:v>Boi / Prüfung</x:v>
      </x:c>
      <x:c r="U13" t="str"/>
    </x:row>
    <x:row r="14" ht="24" customHeight="1">
      <x:c r="A14" t="str">
        <x:v>LUA-KB-EIS-500</x:v>
      </x:c>
      <x:c r="B14" t="str">
        <x:v>Ja</x:v>
      </x:c>
      <x:c r="C14" t="str">
        <x:v>Traceless – konkrete Type offen</x:v>
      </x:c>
      <x:c r="D14" t="str">
        <x:v>Comprisetec (Material-/Engineeringpartner; Rohstoffhersteller noch prüfen)</x:v>
      </x:c>
      <x:c r="E14"/>
      <x:c r="F14" t="str">
        <x:v>Offen</x:v>
      </x:c>
      <x:c r="G14"/>
      <x:c r="H14"/>
      <x:c r="I14" t="str">
        <x:v>Offen</x:v>
      </x:c>
      <x:c r="J14" t="str">
        <x:v>Keine ungeprüften Aussagen</x:v>
      </x:c>
      <x:c r="K14"/>
      <x:c r="L14" t="str">
        <x:v>Offen</x:v>
      </x:c>
      <x:c r="M14" t="str">
        <x:v>Offen</x:v>
      </x:c>
      <x:c r="N14" t="str">
        <x:v>Offen</x:v>
      </x:c>
      <x:c r="O14" t="str">
        <x:v>Offen</x:v>
      </x:c>
      <x:c r="P14" t="str">
        <x:v>Offen</x:v>
      </x:c>
      <x:c r="Q14" t="str">
        <x:v>Offen</x:v>
      </x:c>
      <x:c r="R14" t="str">
        <x:v>Offen</x:v>
      </x:c>
      <x:c r="S14" t="str">
        <x:v>Nicht freigegeben</x:v>
      </x:c>
      <x:c r="T14" t="str">
        <x:v>Boi / Prüfung</x:v>
      </x:c>
      <x:c r="U14" t="str"/>
    </x:row>
    <x:row r="15" ht="24" customHeight="1">
      <x:c r="A15" t="str">
        <x:v>LUA-KB-POMMES-500</x:v>
      </x:c>
      <x:c r="B15" t="str">
        <x:v>Ja</x:v>
      </x:c>
      <x:c r="C15" t="str">
        <x:v>Traceless – konkrete Type offen</x:v>
      </x:c>
      <x:c r="D15" t="str">
        <x:v>Comprisetec (Material-/Engineeringpartner; Rohstoffhersteller noch prüfen)</x:v>
      </x:c>
      <x:c r="E15"/>
      <x:c r="F15" t="str">
        <x:v>Offen</x:v>
      </x:c>
      <x:c r="G15"/>
      <x:c r="H15"/>
      <x:c r="I15" t="str">
        <x:v>Offen</x:v>
      </x:c>
      <x:c r="J15" t="str">
        <x:v>Keine ungeprüften Aussagen</x:v>
      </x:c>
      <x:c r="K15"/>
      <x:c r="L15" t="str">
        <x:v>Offen</x:v>
      </x:c>
      <x:c r="M15" t="str">
        <x:v>Offen</x:v>
      </x:c>
      <x:c r="N15" t="str">
        <x:v>Offen</x:v>
      </x:c>
      <x:c r="O15" t="str">
        <x:v>Offen</x:v>
      </x:c>
      <x:c r="P15" t="str">
        <x:v>Offen</x:v>
      </x:c>
      <x:c r="Q15" t="str">
        <x:v>Offen</x:v>
      </x:c>
      <x:c r="R15" t="str">
        <x:v>Offen</x:v>
      </x:c>
      <x:c r="S15" t="str">
        <x:v>Nicht freigegeben</x:v>
      </x:c>
      <x:c r="T15" t="str">
        <x:v>Boi / Prüfung</x:v>
      </x:c>
      <x:c r="U15" t="str"/>
    </x:row>
    <x:row r="16" ht="24" customHeight="1">
      <x:c r="A16" t="str">
        <x:v>LUA-MUSTER-BESTECK</x:v>
      </x:c>
      <x:c r="B16" t="str">
        <x:v>Inhalt prüfen</x:v>
      </x:c>
      <x:c r="C16" t="str">
        <x:v>Abhängig von Musterbestückung</x:v>
      </x:c>
      <x:c r="D16"/>
      <x:c r="E16"/>
      <x:c r="F16" t="str">
        <x:v>Offen</x:v>
      </x:c>
      <x:c r="G16"/>
      <x:c r="H16"/>
      <x:c r="I16" t="str">
        <x:v>Offen</x:v>
      </x:c>
      <x:c r="J16" t="str">
        <x:v>Keine ungeprüften Aussagen</x:v>
      </x:c>
      <x:c r="K16"/>
      <x:c r="L16" t="str">
        <x:v>Offen</x:v>
      </x:c>
      <x:c r="M16" t="str">
        <x:v>Offen</x:v>
      </x:c>
      <x:c r="N16" t="str">
        <x:v>Offen</x:v>
      </x:c>
      <x:c r="O16" t="str">
        <x:v>Offen</x:v>
      </x:c>
      <x:c r="P16" t="str">
        <x:v>Offen</x:v>
      </x:c>
      <x:c r="Q16" t="str">
        <x:v>Offen</x:v>
      </x:c>
      <x:c r="R16" t="str">
        <x:v>Offen</x:v>
      </x:c>
      <x:c r="S16" t="str">
        <x:v>Nicht freigegeben</x:v>
      </x:c>
      <x:c r="T16" t="str">
        <x:v>Boi / Prüfung</x:v>
      </x:c>
      <x:c r="U16" t="str"/>
    </x:row>
    <x:row r="17" ht="24" customHeight="1">
      <x:c r="A17" t="str">
        <x:v>LUA-MUSTER-STROH</x:v>
      </x:c>
      <x:c r="B17" t="str">
        <x:v>Inhalt prüfen</x:v>
      </x:c>
      <x:c r="C17" t="str">
        <x:v>Abhängig von Musterbestückung</x:v>
      </x:c>
      <x:c r="D17"/>
      <x:c r="E17"/>
      <x:c r="F17" t="str">
        <x:v>Offen</x:v>
      </x:c>
      <x:c r="G17"/>
      <x:c r="H17"/>
      <x:c r="I17" t="str">
        <x:v>Offen</x:v>
      </x:c>
      <x:c r="J17" t="str">
        <x:v>Keine ungeprüften Aussagen</x:v>
      </x:c>
      <x:c r="K17"/>
      <x:c r="L17" t="str">
        <x:v>Offen</x:v>
      </x:c>
      <x:c r="M17" t="str">
        <x:v>Offen</x:v>
      </x:c>
      <x:c r="N17" t="str">
        <x:v>Offen</x:v>
      </x:c>
      <x:c r="O17" t="str">
        <x:v>Offen</x:v>
      </x:c>
      <x:c r="P17" t="str">
        <x:v>Offen</x:v>
      </x:c>
      <x:c r="Q17" t="str">
        <x:v>Offen</x:v>
      </x:c>
      <x:c r="R17" t="str">
        <x:v>Offen</x:v>
      </x:c>
      <x:c r="S17" t="str">
        <x:v>Nicht freigegeben</x:v>
      </x:c>
      <x:c r="T17" t="str">
        <x:v>Boi / Prüfung</x:v>
      </x:c>
      <x:c r="U1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 ht="38" customHeight="1">
      <x:c r="A1" s="58" t="str">
        <x:v>SKU</x:v>
      </x:c>
      <x:c r="B1" s="58" t="str">
        <x:v>GTIN-13</x:v>
      </x:c>
      <x:c r="C1" s="58" t="str">
        <x:v>Amazon Seller SKU</x:v>
      </x:c>
      <x:c r="D1" s="58" t="str">
        <x:v>ASIN</x:v>
      </x:c>
      <x:c r="E1" s="58" t="str">
        <x:v>FNSKU (bei FBA)</x:v>
      </x:c>
      <x:c r="F1" s="58" t="str">
        <x:v>Amazon Kategorie</x:v>
      </x:c>
      <x:c r="G1" s="58" t="str">
        <x:v>Amazon VK brutto</x:v>
      </x:c>
      <x:c r="H1" s="58" t="str">
        <x:v>Shop VK brutto</x:v>
      </x:c>
      <x:c r="I1" s="58" t="str">
        <x:v>B2B Staffelblatt</x:v>
      </x:c>
      <x:c r="J1" s="58" t="str">
        <x:v>Marketplace Titel DE</x:v>
      </x:c>
      <x:c r="K1" s="58" t="str">
        <x:v>Marketplace Titel EN</x:v>
      </x:c>
      <x:c r="L1" s="58" t="str">
        <x:v>Bulletpoints freigegeben</x:v>
      </x:c>
      <x:c r="M1" s="58" t="str">
        <x:v>Hauptbild</x:v>
      </x:c>
      <x:c r="N1" s="58" t="str">
        <x:v>Weitere Bilder</x:v>
      </x:c>
      <x:c r="O1" s="58" t="str">
        <x:v>Netto-Versandgewicht g</x:v>
      </x:c>
      <x:c r="P1" s="58" t="str">
        <x:v>Amazon FBA Größenklasse</x:v>
      </x:c>
      <x:c r="Q1" s="58" t="str">
        <x:v>FBA Gebühr netto</x:v>
      </x:c>
      <x:c r="R1" s="58" t="str">
        <x:v>Amazon Provision % Annahme</x:v>
      </x:c>
      <x:c r="S1" s="58" t="str">
        <x:v>Amazon Werbung % Annahme</x:v>
      </x:c>
      <x:c r="T1" s="58" t="str">
        <x:v>Retouren %</x:v>
      </x:c>
      <x:c r="U1" s="58" t="str">
        <x:v>Status</x:v>
      </x:c>
    </x:row>
    <x:row r="2" ht="24" customHeight="1">
      <x:c r="A2" t="str">
        <x:v>LUA-SW-15-500</x:v>
      </x:c>
      <x:c r="B2"/>
      <x:c r="C2"/>
      <x:c r="D2"/>
      <x:c r="E2"/>
      <x:c r="F2"/>
      <x:c r="G2"/>
      <x:c r="H2"/>
      <x:c r="I2" t="str">
        <x:v>VK-Staffeln</x:v>
      </x:c>
      <x:c r="J2"/>
      <x:c r="K2"/>
      <x:c r="L2" t="str">
        <x:v>Offen</x:v>
      </x:c>
      <x:c r="M2"/>
      <x:c r="N2"/>
      <x:c r="O2"/>
      <x:c r="P2"/>
      <x:c r="Q2"/>
      <x:c r="R2"/>
      <x:c r="S2"/>
      <x:c r="T2"/>
      <x:c r="U2" t="str">
        <x:v>Vorbereitung</x:v>
      </x:c>
    </x:row>
    <x:row r="3" ht="24" customHeight="1">
      <x:c r="A3" t="str">
        <x:v>LUA-SW-20-500</x:v>
      </x:c>
      <x:c r="B3"/>
      <x:c r="C3"/>
      <x:c r="D3"/>
      <x:c r="E3"/>
      <x:c r="F3"/>
      <x:c r="G3"/>
      <x:c r="H3"/>
      <x:c r="I3" t="str">
        <x:v>VK-Staffeln</x:v>
      </x:c>
      <x:c r="J3"/>
      <x:c r="K3"/>
      <x:c r="L3" t="str">
        <x:v>Offen</x:v>
      </x:c>
      <x:c r="M3"/>
      <x:c r="N3"/>
      <x:c r="O3"/>
      <x:c r="P3"/>
      <x:c r="Q3"/>
      <x:c r="R3"/>
      <x:c r="S3"/>
      <x:c r="T3"/>
      <x:c r="U3" t="str">
        <x:v>Vorbereitung</x:v>
      </x:c>
    </x:row>
    <x:row r="4" ht="24" customHeight="1">
      <x:c r="A4" t="str">
        <x:v>LUA-SW-23-500</x:v>
      </x:c>
      <x:c r="B4"/>
      <x:c r="C4"/>
      <x:c r="D4"/>
      <x:c r="E4"/>
      <x:c r="F4"/>
      <x:c r="G4"/>
      <x:c r="H4"/>
      <x:c r="I4" t="str">
        <x:v>VK-Staffeln</x:v>
      </x:c>
      <x:c r="J4"/>
      <x:c r="K4"/>
      <x:c r="L4" t="str">
        <x:v>Offen</x:v>
      </x:c>
      <x:c r="M4"/>
      <x:c r="N4"/>
      <x:c r="O4"/>
      <x:c r="P4"/>
      <x:c r="Q4"/>
      <x:c r="R4"/>
      <x:c r="S4"/>
      <x:c r="T4"/>
      <x:c r="U4" t="str">
        <x:v>Vorbereitung</x:v>
      </x:c>
    </x:row>
    <x:row r="5" ht="24" customHeight="1">
      <x:c r="A5" t="str">
        <x:v>LUA-SW-25-500</x:v>
      </x:c>
      <x:c r="B5"/>
      <x:c r="C5"/>
      <x:c r="D5"/>
      <x:c r="E5"/>
      <x:c r="F5"/>
      <x:c r="G5"/>
      <x:c r="H5"/>
      <x:c r="I5" t="str">
        <x:v>VK-Staffeln</x:v>
      </x:c>
      <x:c r="J5"/>
      <x:c r="K5"/>
      <x:c r="L5" t="str">
        <x:v>Offen</x:v>
      </x:c>
      <x:c r="M5"/>
      <x:c r="N5"/>
      <x:c r="O5"/>
      <x:c r="P5"/>
      <x:c r="Q5"/>
      <x:c r="R5"/>
      <x:c r="S5"/>
      <x:c r="T5"/>
      <x:c r="U5" t="str">
        <x:v>Vorbereitung</x:v>
      </x:c>
    </x:row>
    <x:row r="6" ht="24" customHeight="1">
      <x:c r="A6" t="str">
        <x:v>LUA-SW-30-500</x:v>
      </x:c>
      <x:c r="B6"/>
      <x:c r="C6"/>
      <x:c r="D6"/>
      <x:c r="E6"/>
      <x:c r="F6"/>
      <x:c r="G6"/>
      <x:c r="H6"/>
      <x:c r="I6" t="str">
        <x:v>VK-Staffeln</x:v>
      </x:c>
      <x:c r="J6"/>
      <x:c r="K6"/>
      <x:c r="L6" t="str">
        <x:v>Offen</x:v>
      </x:c>
      <x:c r="M6"/>
      <x:c r="N6"/>
      <x:c r="O6"/>
      <x:c r="P6"/>
      <x:c r="Q6"/>
      <x:c r="R6"/>
      <x:c r="S6"/>
      <x:c r="T6"/>
      <x:c r="U6" t="str">
        <x:v>Vorbereitung</x:v>
      </x:c>
    </x:row>
    <x:row r="7" ht="24" customHeight="1">
      <x:c r="A7" t="str">
        <x:v>LUA-SW-15-100</x:v>
      </x:c>
      <x:c r="B7"/>
      <x:c r="C7"/>
      <x:c r="D7"/>
      <x:c r="E7"/>
      <x:c r="F7"/>
      <x:c r="G7"/>
      <x:c r="H7"/>
      <x:c r="I7" t="str">
        <x:v>VK-Staffeln</x:v>
      </x:c>
      <x:c r="J7"/>
      <x:c r="K7"/>
      <x:c r="L7" t="str">
        <x:v>Offen</x:v>
      </x:c>
      <x:c r="M7"/>
      <x:c r="N7"/>
      <x:c r="O7"/>
      <x:c r="P7"/>
      <x:c r="Q7"/>
      <x:c r="R7"/>
      <x:c r="S7"/>
      <x:c r="T7"/>
      <x:c r="U7" t="str">
        <x:v>Vorbereitung</x:v>
      </x:c>
    </x:row>
    <x:row r="8" ht="24" customHeight="1">
      <x:c r="A8" t="str">
        <x:v>LUA-SW-20-100</x:v>
      </x:c>
      <x:c r="B8"/>
      <x:c r="C8"/>
      <x:c r="D8"/>
      <x:c r="E8"/>
      <x:c r="F8"/>
      <x:c r="G8"/>
      <x:c r="H8"/>
      <x:c r="I8" t="str">
        <x:v>VK-Staffeln</x:v>
      </x:c>
      <x:c r="J8"/>
      <x:c r="K8"/>
      <x:c r="L8" t="str">
        <x:v>Offen</x:v>
      </x:c>
      <x:c r="M8"/>
      <x:c r="N8"/>
      <x:c r="O8"/>
      <x:c r="P8"/>
      <x:c r="Q8"/>
      <x:c r="R8"/>
      <x:c r="S8"/>
      <x:c r="T8"/>
      <x:c r="U8" t="str">
        <x:v>Vorbereitung</x:v>
      </x:c>
    </x:row>
    <x:row r="9" ht="24" customHeight="1">
      <x:c r="A9" t="str">
        <x:v>LUA-SW-20-050</x:v>
      </x:c>
      <x:c r="B9"/>
      <x:c r="C9"/>
      <x:c r="D9"/>
      <x:c r="E9"/>
      <x:c r="F9"/>
      <x:c r="G9"/>
      <x:c r="H9"/>
      <x:c r="I9" t="str">
        <x:v>VK-Staffeln</x:v>
      </x:c>
      <x:c r="J9"/>
      <x:c r="K9"/>
      <x:c r="L9" t="str">
        <x:v>Offen</x:v>
      </x:c>
      <x:c r="M9"/>
      <x:c r="N9"/>
      <x:c r="O9"/>
      <x:c r="P9"/>
      <x:c r="Q9"/>
      <x:c r="R9"/>
      <x:c r="S9"/>
      <x:c r="T9"/>
      <x:c r="U9" t="str">
        <x:v>Vorbereitung</x:v>
      </x:c>
    </x:row>
    <x:row r="10" ht="24" customHeight="1">
      <x:c r="A10" t="str">
        <x:v>LUA-GB-GABEL-150</x:v>
      </x:c>
      <x:c r="B10"/>
      <x:c r="C10"/>
      <x:c r="D10"/>
      <x:c r="E10"/>
      <x:c r="F10"/>
      <x:c r="G10" t="n">
        <x:v>39.9</x:v>
      </x:c>
      <x:c r="H10" t="n">
        <x:v>24.9</x:v>
      </x:c>
      <x:c r="I10" t="str">
        <x:v>Besteck-Staffeln</x:v>
      </x:c>
      <x:c r="J10"/>
      <x:c r="K10"/>
      <x:c r="L10" t="str">
        <x:v>Offen</x:v>
      </x:c>
      <x:c r="M10"/>
      <x:c r="N10"/>
      <x:c r="O10"/>
      <x:c r="P10"/>
      <x:c r="Q10"/>
      <x:c r="R10" t="n">
        <x:v>15</x:v>
      </x:c>
      <x:c r="S10" t="n">
        <x:v>8</x:v>
      </x:c>
      <x:c r="T10"/>
      <x:c r="U10" t="str">
        <x:v>Vorbereitung</x:v>
      </x:c>
    </x:row>
    <x:row r="11" ht="24" customHeight="1">
      <x:c r="A11" t="str">
        <x:v>LUA-GB-LOEFFEL-150</x:v>
      </x:c>
      <x:c r="B11"/>
      <x:c r="C11"/>
      <x:c r="D11"/>
      <x:c r="E11"/>
      <x:c r="F11"/>
      <x:c r="G11" t="n">
        <x:v>39.9</x:v>
      </x:c>
      <x:c r="H11" t="n">
        <x:v>24.9</x:v>
      </x:c>
      <x:c r="I11" t="str">
        <x:v>Besteck-Staffeln</x:v>
      </x:c>
      <x:c r="J11"/>
      <x:c r="K11"/>
      <x:c r="L11" t="str">
        <x:v>Offen</x:v>
      </x:c>
      <x:c r="M11"/>
      <x:c r="N11"/>
      <x:c r="O11"/>
      <x:c r="P11"/>
      <x:c r="Q11"/>
      <x:c r="R11" t="n">
        <x:v>15</x:v>
      </x:c>
      <x:c r="S11" t="n">
        <x:v>8</x:v>
      </x:c>
      <x:c r="T11"/>
      <x:c r="U11" t="str">
        <x:v>Vorbereitung</x:v>
      </x:c>
    </x:row>
    <x:row r="12" ht="24" customHeight="1">
      <x:c r="A12" t="str">
        <x:v>LUA-GB-MESSER-150</x:v>
      </x:c>
      <x:c r="B12"/>
      <x:c r="C12"/>
      <x:c r="D12"/>
      <x:c r="E12"/>
      <x:c r="F12"/>
      <x:c r="G12" t="n">
        <x:v>39.9</x:v>
      </x:c>
      <x:c r="H12" t="n">
        <x:v>24.9</x:v>
      </x:c>
      <x:c r="I12" t="str">
        <x:v>Besteck-Staffeln</x:v>
      </x:c>
      <x:c r="J12"/>
      <x:c r="K12"/>
      <x:c r="L12" t="str">
        <x:v>Offen</x:v>
      </x:c>
      <x:c r="M12"/>
      <x:c r="N12"/>
      <x:c r="O12"/>
      <x:c r="P12"/>
      <x:c r="Q12"/>
      <x:c r="R12" t="n">
        <x:v>15</x:v>
      </x:c>
      <x:c r="S12" t="n">
        <x:v>8</x:v>
      </x:c>
      <x:c r="T12"/>
      <x:c r="U12" t="str">
        <x:v>Vorbereitung</x:v>
      </x:c>
    </x:row>
    <x:row r="13" ht="24" customHeight="1">
      <x:c r="A13" t="str">
        <x:v>LUA-GB-MIX-150</x:v>
      </x:c>
      <x:c r="B13"/>
      <x:c r="C13"/>
      <x:c r="D13"/>
      <x:c r="E13"/>
      <x:c r="F13"/>
      <x:c r="G13" t="n">
        <x:v>39.9</x:v>
      </x:c>
      <x:c r="H13" t="n">
        <x:v>24.9</x:v>
      </x:c>
      <x:c r="I13" t="str">
        <x:v>Besteck-Staffeln</x:v>
      </x:c>
      <x:c r="J13"/>
      <x:c r="K13"/>
      <x:c r="L13" t="str">
        <x:v>Offen</x:v>
      </x:c>
      <x:c r="M13"/>
      <x:c r="N13"/>
      <x:c r="O13"/>
      <x:c r="P13"/>
      <x:c r="Q13"/>
      <x:c r="R13" t="n">
        <x:v>15</x:v>
      </x:c>
      <x:c r="S13" t="n">
        <x:v>8</x:v>
      </x:c>
      <x:c r="T13"/>
      <x:c r="U13" t="str">
        <x:v>Vorbereitung</x:v>
      </x:c>
    </x:row>
    <x:row r="14" ht="24" customHeight="1">
      <x:c r="A14" t="str">
        <x:v>LUA-KB-EIS-500</x:v>
      </x:c>
      <x:c r="B14"/>
      <x:c r="C14"/>
      <x:c r="D14"/>
      <x:c r="E14"/>
      <x:c r="F14"/>
      <x:c r="G14" t="n">
        <x:v>44.9</x:v>
      </x:c>
      <x:c r="H14" t="n">
        <x:v>39.9</x:v>
      </x:c>
      <x:c r="I14" t="str">
        <x:v>Besteck-Staffeln</x:v>
      </x:c>
      <x:c r="J14"/>
      <x:c r="K14"/>
      <x:c r="L14" t="str">
        <x:v>Offen</x:v>
      </x:c>
      <x:c r="M14"/>
      <x:c r="N14"/>
      <x:c r="O14"/>
      <x:c r="P14"/>
      <x:c r="Q14"/>
      <x:c r="R14" t="n">
        <x:v>15</x:v>
      </x:c>
      <x:c r="S14" t="n">
        <x:v>8</x:v>
      </x:c>
      <x:c r="T14"/>
      <x:c r="U14" t="str">
        <x:v>Vorbereitung</x:v>
      </x:c>
    </x:row>
    <x:row r="15" ht="24" customHeight="1">
      <x:c r="A15" t="str">
        <x:v>LUA-KB-POMMES-500</x:v>
      </x:c>
      <x:c r="B15"/>
      <x:c r="C15"/>
      <x:c r="D15"/>
      <x:c r="E15"/>
      <x:c r="F15"/>
      <x:c r="G15" t="n">
        <x:v>44.9</x:v>
      </x:c>
      <x:c r="H15" t="n">
        <x:v>34.9</x:v>
      </x:c>
      <x:c r="I15" t="str">
        <x:v>Besteck-Staffeln</x:v>
      </x:c>
      <x:c r="J15"/>
      <x:c r="K15"/>
      <x:c r="L15" t="str">
        <x:v>Offen</x:v>
      </x:c>
      <x:c r="M15"/>
      <x:c r="N15"/>
      <x:c r="O15"/>
      <x:c r="P15"/>
      <x:c r="Q15"/>
      <x:c r="R15" t="n">
        <x:v>15</x:v>
      </x:c>
      <x:c r="S15" t="n">
        <x:v>8</x:v>
      </x:c>
      <x:c r="T15"/>
      <x:c r="U15" t="str">
        <x:v>Vorbereitung</x:v>
      </x:c>
    </x:row>
    <x:row r="16" ht="24" customHeight="1">
      <x:c r="A16" t="str">
        <x:v>LUA-MUSTER-BESTECK</x:v>
      </x:c>
      <x:c r="B16"/>
      <x:c r="C16"/>
      <x:c r="D16"/>
      <x:c r="E16"/>
      <x:c r="F16"/>
      <x:c r="G16"/>
      <x:c r="H16"/>
      <x:c r="I16"/>
      <x:c r="J16"/>
      <x:c r="K16"/>
      <x:c r="L16" t="str">
        <x:v>Offen</x:v>
      </x:c>
      <x:c r="M16"/>
      <x:c r="N16"/>
      <x:c r="O16"/>
      <x:c r="P16"/>
      <x:c r="Q16"/>
      <x:c r="R16"/>
      <x:c r="S16"/>
      <x:c r="T16"/>
      <x:c r="U16" t="str">
        <x:v>Vorbereitung</x:v>
      </x:c>
    </x:row>
    <x:row r="17" ht="24" customHeight="1">
      <x:c r="A17" t="str">
        <x:v>LUA-MUSTER-STROH</x:v>
      </x:c>
      <x:c r="B17"/>
      <x:c r="C17"/>
      <x:c r="D17"/>
      <x:c r="E17"/>
      <x:c r="F17"/>
      <x:c r="G17"/>
      <x:c r="H17"/>
      <x:c r="I17"/>
      <x:c r="J17"/>
      <x:c r="K17"/>
      <x:c r="L17" t="str">
        <x:v>Offen</x:v>
      </x:c>
      <x:c r="M17"/>
      <x:c r="N17"/>
      <x:c r="O17"/>
      <x:c r="P17"/>
      <x:c r="Q17"/>
      <x:c r="R17"/>
      <x:c r="S17"/>
      <x:c r="T17"/>
      <x:c r="U17" t="str">
        <x:v>Vorbereitung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65" hidden="0" customWidth="1"/>
    <x:col min="3" max="3" width="34" hidden="0" customWidth="1"/>
    <x:col min="4" max="4" width="20" hidden="0" customWidth="1"/>
    <x:col min="5" max="5" width="20" hidden="0" customWidth="1"/>
    <x:col min="6" max="6" width="52" hidden="0" customWidth="1"/>
  </x:cols>
  <x:sheetData>
    <x:row r="1" ht="38" customHeight="1">
      <x:c r="A1" s="58" t="str">
        <x:v>Prio</x:v>
      </x:c>
      <x:c r="B1" s="58" t="str">
        <x:v>Arbeitspaket</x:v>
      </x:c>
      <x:c r="C1" s="58" t="str">
        <x:v>Verantwortlich</x:v>
      </x:c>
      <x:c r="D1" s="58" t="str">
        <x:v>Status</x:v>
      </x:c>
      <x:c r="E1" s="58" t="str">
        <x:v>Termin/Trigger</x:v>
      </x:c>
      <x:c r="F1" s="58" t="str">
        <x:v>Referenz</x:v>
      </x:c>
    </x:row>
    <x:row r="2" ht="24" customHeight="1">
      <x:c r="A2" t="str">
        <x:v>P1</x:v>
      </x:c>
      <x:c r="B2" t="str">
        <x:v>GS1 Zugang und GTINs für unterschiedliche Handelspackungen</x:v>
      </x:c>
      <x:c r="C2" t="str">
        <x:v>ECKO-PACK</x:v>
      </x:c>
      <x:c r="D2" t="str">
        <x:v>Offen</x:v>
      </x:c>
      <x:c r="E2" t="str">
        <x:v>Vor Druckfreigabe</x:v>
      </x:c>
      <x:c r="F2" t="str">
        <x:v>https://www.gs1-germany.de/</x:v>
      </x:c>
    </x:row>
    <x:row r="3" ht="24" customHeight="1">
      <x:c r="A3" t="str">
        <x:v>P1</x:v>
      </x:c>
      <x:c r="B3" t="str">
        <x:v>DE- und EN-Verpackung getrennt führen; GTIN-Bedarf je Version prüfen</x:v>
      </x:c>
      <x:c r="C3" t="str">
        <x:v>ECKO-PACK / Topac / Boi (Marktrausch)</x:v>
      </x:c>
      <x:c r="D3" t="str">
        <x:v>Offen</x:v>
      </x:c>
      <x:c r="E3" t="str">
        <x:v>Vor GTIN Freigabe</x:v>
      </x:c>
      <x:c r="F3" t="str"/>
    </x:row>
    <x:row r="4" ht="24" customHeight="1">
      <x:c r="A4" t="str">
        <x:v>P1</x:v>
      </x:c>
      <x:c r="B4" t="str">
        <x:v>Verpackungsmaße und Bruttogewichte für alle Verkaufseinheiten</x:v>
      </x:c>
      <x:c r="C4" t="str">
        <x:v>Topac / Produktion</x:v>
      </x:c>
      <x:c r="D4" t="str">
        <x:v>Offen</x:v>
      </x:c>
      <x:c r="E4" t="str">
        <x:v>Vor Amazon FBA</x:v>
      </x:c>
      <x:c r="F4" t="str"/>
    </x:row>
    <x:row r="5" ht="24" customHeight="1">
      <x:c r="A5" t="str">
        <x:v>P1</x:v>
      </x:c>
      <x:c r="B5" t="str">
        <x:v>Umkarton-Spezifikation Trinkhalme festlegen</x:v>
      </x:c>
      <x:c r="C5" t="str">
        <x:v>Topac / Logistik</x:v>
      </x:c>
      <x:c r="D5" t="str">
        <x:v>Offen</x:v>
      </x:c>
      <x:c r="E5" t="str">
        <x:v>Vor Abruf</x:v>
      </x:c>
      <x:c r="F5" t="str"/>
    </x:row>
    <x:row r="6" ht="24" customHeight="1">
      <x:c r="A6" t="str">
        <x:v>P1</x:v>
      </x:c>
      <x:c r="B6" t="str">
        <x:v>Bestückung der zwei Musterkartons festlegen</x:v>
      </x:c>
      <x:c r="C6" t="str">
        <x:v>ECKO-PACK</x:v>
      </x:c>
      <x:c r="D6" t="str">
        <x:v>Offen</x:v>
      </x:c>
      <x:c r="E6" t="str">
        <x:v>Vor Druckfreigabe</x:v>
      </x:c>
      <x:c r="F6" t="str"/>
    </x:row>
    <x:row r="7" ht="24" customHeight="1">
      <x:c r="A7" t="str">
        <x:v>P1</x:v>
      </x:c>
      <x:c r="B7" t="str">
        <x:v>20 cm Trinkhalm 50er Karton: VK definieren</x:v>
      </x:c>
      <x:c r="C7" t="str">
        <x:v>Vertrieb</x:v>
      </x:c>
      <x:c r="D7" t="str">
        <x:v>Offen</x:v>
      </x:c>
      <x:c r="E7" t="str">
        <x:v>Vor Listung</x:v>
      </x:c>
      <x:c r="F7" t="str"/>
    </x:row>
    <x:row r="8" ht="24" customHeight="1">
      <x:c r="A8" t="str">
        <x:v>P1</x:v>
      </x:c>
      <x:c r="B8" t="str">
        <x:v>Lebensmittelkontakt-Prüfunterlagen je Material/Artikel</x:v>
      </x:c>
      <x:c r="C8" t="str">
        <x:v>Produktion / Materialpartner</x:v>
      </x:c>
      <x:c r="D8" t="str">
        <x:v>Offen</x:v>
      </x:c>
      <x:c r="E8" t="str">
        <x:v>Vor Verkauf</x:v>
      </x:c>
      <x:c r="F8" t="str">
        <x:v>https://eur-lex.europa.eu/eli/reg/2004/1935/oj</x:v>
      </x:c>
    </x:row>
    <x:row r="9" ht="24" customHeight="1">
      <x:c r="A9" t="str">
        <x:v>P1</x:v>
      </x:c>
      <x:c r="B9" t="str">
        <x:v>EmpCo: Werbeaussagen Naturmaterial / kunststofffrei prüfen</x:v>
      </x:c>
      <x:c r="C9" t="str">
        <x:v>Boi / Recht</x:v>
      </x:c>
      <x:c r="D9" t="str">
        <x:v>Offen</x:v>
      </x:c>
      <x:c r="E9" t="str">
        <x:v>Vor Artwork-Freigabe</x:v>
      </x:c>
      <x:c r="F9" t="str">
        <x:v>https://eur-lex.europa.eu/eli/dir/2024/825/oj</x:v>
      </x:c>
    </x:row>
    <x:row r="10" ht="24" customHeight="1">
      <x:c r="A10" t="str">
        <x:v>P1</x:v>
      </x:c>
      <x:c r="B10" t="str">
        <x:v>PPWR und VerpackG-LUCID-Pflichten abstimmen</x:v>
      </x:c>
      <x:c r="C10" t="str">
        <x:v>ECKO-PACK / Recht</x:v>
      </x:c>
      <x:c r="D10" t="str">
        <x:v>Offen</x:v>
      </x:c>
      <x:c r="E10" t="str">
        <x:v>Vor Markteintritt</x:v>
      </x:c>
      <x:c r="F10" t="str">
        <x:v>https://www.verpackungsregister.org/</x:v>
      </x:c>
    </x:row>
    <x:row r="11" ht="24" customHeight="1">
      <x:c r="A11" t="str">
        <x:v>P2</x:v>
      </x:c>
      <x:c r="B11" t="str">
        <x:v>Beileger Besteck: Text, DE/EN, Format und Druckfreigabe</x:v>
      </x:c>
      <x:c r="C11" t="str">
        <x:v>Boi / Amelie / ECKO-PACK</x:v>
      </x:c>
      <x:c r="D11" t="str">
        <x:v>Offen</x:v>
      </x:c>
      <x:c r="E11" t="str">
        <x:v>Vor Bestellung</x:v>
      </x:c>
      <x:c r="F11" t="str">
        <x:v>https://sell.amazon.de/preisgestaltung</x:v>
      </x:c>
    </x:row>
    <x:row r="12" ht="24" customHeight="1">
      <x:c r="A12" t="str">
        <x:v>P2</x:v>
      </x:c>
      <x:c r="B12" t="str">
        <x:v>Flyer Trinkhalme: Text, DE/EN, Format und Druckfreigabe</x:v>
      </x:c>
      <x:c r="C12" t="str">
        <x:v>Boi / Amelie / ECKO-PACK</x:v>
      </x:c>
      <x:c r="D12" t="str">
        <x:v>Offen</x:v>
      </x:c>
      <x:c r="E12" t="str">
        <x:v>Vor Bestellung</x:v>
      </x:c>
      <x:c r="F12" t="str"/>
    </x:row>
    <x:row r="13" ht="24" customHeight="1">
      <x:c r="A13" t="str">
        <x:v>P2</x:v>
      </x:c>
      <x:c r="B13" t="str">
        <x:v>Preisgruppen für Wiederverkäufer vs Direktkunden prüfen</x:v>
      </x:c>
      <x:c r="C13" t="str">
        <x:v>Vertrieb</x:v>
      </x:c>
      <x:c r="D13" t="str">
        <x:v>Offen</x:v>
      </x:c>
      <x:c r="E13" t="str">
        <x:v>Vor Angebotsimport</x:v>
      </x:c>
      <x:c r="F13" t="str"/>
    </x:row>
    <x:row r="14" ht="24" customHeight="1">
      <x:c r="A14" t="str">
        <x:v>P2</x:v>
      </x:c>
      <x:c r="B14" t="str">
        <x:v>Karton Mix: Banderolierungskosten kalkulieren</x:v>
      </x:c>
      <x:c r="C14" t="str">
        <x:v>Produktion</x:v>
      </x:c>
      <x:c r="D14" t="str">
        <x:v>Offen</x:v>
      </x:c>
      <x:c r="E14" t="str">
        <x:v>Vor Preisfreigabe</x:v>
      </x:c>
      <x:c r="F14" t="str"/>
    </x:row>
    <x:row r="15">
      <x:c r="A15" t="str">
        <x:v>P1</x:v>
      </x:c>
      <x:c r="B15" t="str">
        <x:v>Materialnachweise und Werkstofffreigabe einholen</x:v>
      </x:c>
      <x:c r="C15" t="str">
        <x:v>Comprisetec / ECKO-PACK</x:v>
      </x:c>
      <x:c r="D15" t="str">
        <x:v>Offen</x:v>
      </x:c>
      <x:c r="E15" t="str">
        <x:v>Vor Druckfreigabe</x:v>
      </x:c>
      <x:c r="F15" t="str">
        <x:v>Werkstofflieferant und Nachweisdetails separat prüfen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7" hidden="0" customWidth="1"/>
    <x:col min="3" max="3" width="12" hidden="0" customWidth="1"/>
    <x:col min="4" max="4" width="47" hidden="0" customWidth="1"/>
    <x:col min="5" max="5" width="47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7" hidden="0" customWidth="1"/>
    <x:col min="11" max="11" width="27" hidden="0" customWidth="1"/>
    <x:col min="12" max="12" width="27" hidden="0" customWidth="1"/>
    <x:col min="13" max="13" width="58" hidden="0" customWidth="1"/>
  </x:cols>
  <x:sheetData>
    <x:row r="1" ht="34" customHeight="1">
      <x:c r="A1" s="63" t="str">
        <x:v>Basis-SKU</x:v>
      </x:c>
      <x:c r="B1" s="63" t="str">
        <x:v>Variant-SKU (Vorschlag)</x:v>
      </x:c>
      <x:c r="C1" s="63" t="str">
        <x:v>Sprache</x:v>
      </x:c>
      <x:c r="D1" s="63" t="str">
        <x:v>Produktbezeichnung DE</x:v>
      </x:c>
      <x:c r="E1" s="63" t="str">
        <x:v>Produktbezeichnung EN</x:v>
      </x:c>
      <x:c r="F1" s="63" t="str">
        <x:v>Packmenge</x:v>
      </x:c>
      <x:c r="G1" s="63" t="str">
        <x:v>Verpackungsart</x:v>
      </x:c>
      <x:c r="H1" s="63" t="str">
        <x:v>GTIN Verkauf (offen)</x:v>
      </x:c>
      <x:c r="I1" s="63" t="str">
        <x:v>GTIN Umkarton (offen)</x:v>
      </x:c>
      <x:c r="J1" s="63" t="str">
        <x:v>Lieferant Verpackung</x:v>
      </x:c>
      <x:c r="K1" s="63" t="str">
        <x:v>Material-/Engineeringpartner</x:v>
      </x:c>
      <x:c r="L1" s="63" t="str">
        <x:v>Status</x:v>
      </x:c>
      <x:c r="M1" s="63" t="str">
        <x:v>Hinweis</x:v>
      </x:c>
    </x:row>
    <x:row r="2">
      <x:c r="A2" t="str">
        <x:v>LUA-SW-15-500</x:v>
      </x:c>
      <x:c r="B2" t="str">
        <x:v>LUA-SW-15-500-DE</x:v>
      </x:c>
      <x:c r="C2" t="str">
        <x:v>DE</x:v>
      </x:c>
      <x:c r="D2" t="str">
        <x:v>LUAMO Trinkhalm schwarz 15 cm, 500 Stück/Schlauchbeutel</x:v>
      </x:c>
      <x:c r="E2"/>
      <x:c r="F2" t="n">
        <x:v>500</x:v>
      </x:c>
      <x:c r="G2" t="str">
        <x:v>Schlauchbeutel</x:v>
      </x:c>
      <x:c r="H2"/>
      <x:c r="I2"/>
      <x:c r="J2" t="str">
        <x:v>Topac</x:v>
      </x:c>
      <x:c r="K2" t="str">
        <x:v>Comprisetec</x:v>
      </x:c>
      <x:c r="L2" t="str">
        <x:v>Planung; GTIN offen</x:v>
      </x:c>
      <x:c r="M2" t="str">
        <x:v>Getrennte Druck-/Lagervariante; GTIN-Vergaberegel final mit GS1 prüfen</x:v>
      </x:c>
    </x:row>
    <x:row r="3">
      <x:c r="A3" t="str">
        <x:v>LUA-SW-15-500</x:v>
      </x:c>
      <x:c r="B3" t="str">
        <x:v>LUA-SW-15-500-EN</x:v>
      </x:c>
      <x:c r="C3" t="str">
        <x:v>EN</x:v>
      </x:c>
      <x:c r="D3" t="str">
        <x:v>LUAMO Trinkhalm schwarz 15 cm, 500 Stück/Schlauchbeutel</x:v>
      </x:c>
      <x:c r="E3"/>
      <x:c r="F3" t="n">
        <x:v>500</x:v>
      </x:c>
      <x:c r="G3" t="str">
        <x:v>Schlauchbeutel</x:v>
      </x:c>
      <x:c r="H3"/>
      <x:c r="I3"/>
      <x:c r="J3" t="str">
        <x:v>Topac</x:v>
      </x:c>
      <x:c r="K3" t="str">
        <x:v>Comprisetec</x:v>
      </x:c>
      <x:c r="L3" t="str">
        <x:v>Planung; GTIN offen</x:v>
      </x:c>
      <x:c r="M3" t="str">
        <x:v>Getrennte Druck-/Lagervariante; GTIN-Vergaberegel final mit GS1 prüfen</x:v>
      </x:c>
    </x:row>
    <x:row r="4">
      <x:c r="A4" t="str">
        <x:v>LUA-SW-20-500</x:v>
      </x:c>
      <x:c r="B4" t="str">
        <x:v>LUA-SW-20-500-DE</x:v>
      </x:c>
      <x:c r="C4" t="str">
        <x:v>DE</x:v>
      </x:c>
      <x:c r="D4" t="str">
        <x:v>LUAMO Trinkhalm schwarz 20 cm, 500 Stück/Schlauchbeutel</x:v>
      </x:c>
      <x:c r="E4"/>
      <x:c r="F4" t="n">
        <x:v>500</x:v>
      </x:c>
      <x:c r="G4" t="str">
        <x:v>Schlauchbeutel</x:v>
      </x:c>
      <x:c r="H4"/>
      <x:c r="I4"/>
      <x:c r="J4" t="str">
        <x:v>Topac</x:v>
      </x:c>
      <x:c r="K4" t="str">
        <x:v>Comprisetec</x:v>
      </x:c>
      <x:c r="L4" t="str">
        <x:v>Planung; GTIN offen</x:v>
      </x:c>
      <x:c r="M4" t="str">
        <x:v>Getrennte Druck-/Lagervariante; GTIN-Vergaberegel final mit GS1 prüfen</x:v>
      </x:c>
    </x:row>
    <x:row r="5">
      <x:c r="A5" t="str">
        <x:v>LUA-SW-20-500</x:v>
      </x:c>
      <x:c r="B5" t="str">
        <x:v>LUA-SW-20-500-EN</x:v>
      </x:c>
      <x:c r="C5" t="str">
        <x:v>EN</x:v>
      </x:c>
      <x:c r="D5" t="str">
        <x:v>LUAMO Trinkhalm schwarz 20 cm, 500 Stück/Schlauchbeutel</x:v>
      </x:c>
      <x:c r="E5"/>
      <x:c r="F5" t="n">
        <x:v>500</x:v>
      </x:c>
      <x:c r="G5" t="str">
        <x:v>Schlauchbeutel</x:v>
      </x:c>
      <x:c r="H5"/>
      <x:c r="I5"/>
      <x:c r="J5" t="str">
        <x:v>Topac</x:v>
      </x:c>
      <x:c r="K5" t="str">
        <x:v>Comprisetec</x:v>
      </x:c>
      <x:c r="L5" t="str">
        <x:v>Planung; GTIN offen</x:v>
      </x:c>
      <x:c r="M5" t="str">
        <x:v>Getrennte Druck-/Lagervariante; GTIN-Vergaberegel final mit GS1 prüfen</x:v>
      </x:c>
    </x:row>
    <x:row r="6">
      <x:c r="A6" t="str">
        <x:v>LUA-SW-23-500</x:v>
      </x:c>
      <x:c r="B6" t="str">
        <x:v>LUA-SW-23-500-DE</x:v>
      </x:c>
      <x:c r="C6" t="str">
        <x:v>DE</x:v>
      </x:c>
      <x:c r="D6" t="str">
        <x:v>LUAMO Trinkhalm schwarz 23 cm, 500 Stück/Schlauchbeutel</x:v>
      </x:c>
      <x:c r="E6"/>
      <x:c r="F6" t="n">
        <x:v>500</x:v>
      </x:c>
      <x:c r="G6" t="str">
        <x:v>Schlauchbeutel</x:v>
      </x:c>
      <x:c r="H6"/>
      <x:c r="I6"/>
      <x:c r="J6" t="str">
        <x:v>Topac</x:v>
      </x:c>
      <x:c r="K6" t="str">
        <x:v>Comprisetec</x:v>
      </x:c>
      <x:c r="L6" t="str">
        <x:v>Planung; GTIN offen</x:v>
      </x:c>
      <x:c r="M6" t="str">
        <x:v>Getrennte Druck-/Lagervariante; GTIN-Vergaberegel final mit GS1 prüfen</x:v>
      </x:c>
    </x:row>
    <x:row r="7">
      <x:c r="A7" t="str">
        <x:v>LUA-SW-23-500</x:v>
      </x:c>
      <x:c r="B7" t="str">
        <x:v>LUA-SW-23-500-EN</x:v>
      </x:c>
      <x:c r="C7" t="str">
        <x:v>EN</x:v>
      </x:c>
      <x:c r="D7" t="str">
        <x:v>LUAMO Trinkhalm schwarz 23 cm, 500 Stück/Schlauchbeutel</x:v>
      </x:c>
      <x:c r="E7"/>
      <x:c r="F7" t="n">
        <x:v>500</x:v>
      </x:c>
      <x:c r="G7" t="str">
        <x:v>Schlauchbeutel</x:v>
      </x:c>
      <x:c r="H7"/>
      <x:c r="I7"/>
      <x:c r="J7" t="str">
        <x:v>Topac</x:v>
      </x:c>
      <x:c r="K7" t="str">
        <x:v>Comprisetec</x:v>
      </x:c>
      <x:c r="L7" t="str">
        <x:v>Planung; GTIN offen</x:v>
      </x:c>
      <x:c r="M7" t="str">
        <x:v>Getrennte Druck-/Lagervariante; GTIN-Vergaberegel final mit GS1 prüfen</x:v>
      </x:c>
    </x:row>
    <x:row r="8">
      <x:c r="A8" t="str">
        <x:v>LUA-SW-25-500</x:v>
      </x:c>
      <x:c r="B8" t="str">
        <x:v>LUA-SW-25-500-DE</x:v>
      </x:c>
      <x:c r="C8" t="str">
        <x:v>DE</x:v>
      </x:c>
      <x:c r="D8" t="str">
        <x:v>LUAMO Trinkhalm schwarz 25 cm, 500 Stück/Schlauchbeutel</x:v>
      </x:c>
      <x:c r="E8"/>
      <x:c r="F8" t="n">
        <x:v>500</x:v>
      </x:c>
      <x:c r="G8" t="str">
        <x:v>Schlauchbeutel</x:v>
      </x:c>
      <x:c r="H8"/>
      <x:c r="I8"/>
      <x:c r="J8" t="str">
        <x:v>Topac</x:v>
      </x:c>
      <x:c r="K8" t="str">
        <x:v>Comprisetec</x:v>
      </x:c>
      <x:c r="L8" t="str">
        <x:v>Planung; GTIN offen</x:v>
      </x:c>
      <x:c r="M8" t="str">
        <x:v>Getrennte Druck-/Lagervariante; GTIN-Vergaberegel final mit GS1 prüfen</x:v>
      </x:c>
    </x:row>
    <x:row r="9">
      <x:c r="A9" t="str">
        <x:v>LUA-SW-25-500</x:v>
      </x:c>
      <x:c r="B9" t="str">
        <x:v>LUA-SW-25-500-EN</x:v>
      </x:c>
      <x:c r="C9" t="str">
        <x:v>EN</x:v>
      </x:c>
      <x:c r="D9" t="str">
        <x:v>LUAMO Trinkhalm schwarz 25 cm, 500 Stück/Schlauchbeutel</x:v>
      </x:c>
      <x:c r="E9"/>
      <x:c r="F9" t="n">
        <x:v>500</x:v>
      </x:c>
      <x:c r="G9" t="str">
        <x:v>Schlauchbeutel</x:v>
      </x:c>
      <x:c r="H9"/>
      <x:c r="I9"/>
      <x:c r="J9" t="str">
        <x:v>Topac</x:v>
      </x:c>
      <x:c r="K9" t="str">
        <x:v>Comprisetec</x:v>
      </x:c>
      <x:c r="L9" t="str">
        <x:v>Planung; GTIN offen</x:v>
      </x:c>
      <x:c r="M9" t="str">
        <x:v>Getrennte Druck-/Lagervariante; GTIN-Vergaberegel final mit GS1 prüfen</x:v>
      </x:c>
    </x:row>
    <x:row r="10">
      <x:c r="A10" t="str">
        <x:v>LUA-SW-30-500</x:v>
      </x:c>
      <x:c r="B10" t="str">
        <x:v>LUA-SW-30-500-DE</x:v>
      </x:c>
      <x:c r="C10" t="str">
        <x:v>DE</x:v>
      </x:c>
      <x:c r="D10" t="str">
        <x:v>LUAMO Trinkhalm schwarz 30 cm, 500 Stück/Schlauchbeutel</x:v>
      </x:c>
      <x:c r="E10"/>
      <x:c r="F10" t="n">
        <x:v>500</x:v>
      </x:c>
      <x:c r="G10" t="str">
        <x:v>Schlauchbeutel</x:v>
      </x:c>
      <x:c r="H10"/>
      <x:c r="I10"/>
      <x:c r="J10" t="str">
        <x:v>Topac</x:v>
      </x:c>
      <x:c r="K10" t="str">
        <x:v>Comprisetec</x:v>
      </x:c>
      <x:c r="L10" t="str">
        <x:v>Planung; GTIN offen</x:v>
      </x:c>
      <x:c r="M10" t="str">
        <x:v>Getrennte Druck-/Lagervariante; GTIN-Vergaberegel final mit GS1 prüfen</x:v>
      </x:c>
    </x:row>
    <x:row r="11">
      <x:c r="A11" t="str">
        <x:v>LUA-SW-30-500</x:v>
      </x:c>
      <x:c r="B11" t="str">
        <x:v>LUA-SW-30-500-EN</x:v>
      </x:c>
      <x:c r="C11" t="str">
        <x:v>EN</x:v>
      </x:c>
      <x:c r="D11" t="str">
        <x:v>LUAMO Trinkhalm schwarz 30 cm, 500 Stück/Schlauchbeutel</x:v>
      </x:c>
      <x:c r="E11"/>
      <x:c r="F11" t="n">
        <x:v>500</x:v>
      </x:c>
      <x:c r="G11" t="str">
        <x:v>Schlauchbeutel</x:v>
      </x:c>
      <x:c r="H11"/>
      <x:c r="I11"/>
      <x:c r="J11" t="str">
        <x:v>Topac</x:v>
      </x:c>
      <x:c r="K11" t="str">
        <x:v>Comprisetec</x:v>
      </x:c>
      <x:c r="L11" t="str">
        <x:v>Planung; GTIN offen</x:v>
      </x:c>
      <x:c r="M11" t="str">
        <x:v>Getrennte Druck-/Lagervariante; GTIN-Vergaberegel final mit GS1 prüfen</x:v>
      </x:c>
    </x:row>
    <x:row r="12">
      <x:c r="A12" t="str">
        <x:v>LUA-SW-15-100</x:v>
      </x:c>
      <x:c r="B12" t="str">
        <x:v>LUA-SW-15-100-DE</x:v>
      </x:c>
      <x:c r="C12" t="str">
        <x:v>DE</x:v>
      </x:c>
      <x:c r="D12" t="str">
        <x:v>LUAMO Trinkhalm schwarz 15 cm, 100 Stück/Karton</x:v>
      </x:c>
      <x:c r="E12"/>
      <x:c r="F12" t="n">
        <x:v>100</x:v>
      </x:c>
      <x:c r="G12" t="str">
        <x:v>Karton</x:v>
      </x:c>
      <x:c r="H12"/>
      <x:c r="I12"/>
      <x:c r="J12" t="str">
        <x:v>Topac</x:v>
      </x:c>
      <x:c r="K12" t="str">
        <x:v>Comprisetec</x:v>
      </x:c>
      <x:c r="L12" t="str">
        <x:v>Planung; GTIN offen</x:v>
      </x:c>
      <x:c r="M12" t="str">
        <x:v>Getrennte Druck-/Lagervariante; GTIN-Vergaberegel final mit GS1 prüfen</x:v>
      </x:c>
    </x:row>
    <x:row r="13">
      <x:c r="A13" t="str">
        <x:v>LUA-SW-15-100</x:v>
      </x:c>
      <x:c r="B13" t="str">
        <x:v>LUA-SW-15-100-EN</x:v>
      </x:c>
      <x:c r="C13" t="str">
        <x:v>EN</x:v>
      </x:c>
      <x:c r="D13" t="str">
        <x:v>LUAMO Trinkhalm schwarz 15 cm, 100 Stück/Karton</x:v>
      </x:c>
      <x:c r="E13"/>
      <x:c r="F13" t="n">
        <x:v>100</x:v>
      </x:c>
      <x:c r="G13" t="str">
        <x:v>Karton</x:v>
      </x:c>
      <x:c r="H13"/>
      <x:c r="I13"/>
      <x:c r="J13" t="str">
        <x:v>Topac</x:v>
      </x:c>
      <x:c r="K13" t="str">
        <x:v>Comprisetec</x:v>
      </x:c>
      <x:c r="L13" t="str">
        <x:v>Planung; GTIN offen</x:v>
      </x:c>
      <x:c r="M13" t="str">
        <x:v>Getrennte Druck-/Lagervariante; GTIN-Vergaberegel final mit GS1 prüfen</x:v>
      </x:c>
    </x:row>
    <x:row r="14">
      <x:c r="A14" t="str">
        <x:v>LUA-SW-20-100</x:v>
      </x:c>
      <x:c r="B14" t="str">
        <x:v>LUA-SW-20-100-DE</x:v>
      </x:c>
      <x:c r="C14" t="str">
        <x:v>DE</x:v>
      </x:c>
      <x:c r="D14" t="str">
        <x:v>LUAMO Trinkhalm schwarz 20 cm, 100 Stück/Karton</x:v>
      </x:c>
      <x:c r="E14"/>
      <x:c r="F14" t="n">
        <x:v>100</x:v>
      </x:c>
      <x:c r="G14" t="str">
        <x:v>Karton</x:v>
      </x:c>
      <x:c r="H14"/>
      <x:c r="I14"/>
      <x:c r="J14" t="str">
        <x:v>Topac</x:v>
      </x:c>
      <x:c r="K14" t="str">
        <x:v>Comprisetec</x:v>
      </x:c>
      <x:c r="L14" t="str">
        <x:v>Planung; GTIN offen</x:v>
      </x:c>
      <x:c r="M14" t="str">
        <x:v>Getrennte Druck-/Lagervariante; GTIN-Vergaberegel final mit GS1 prüfen</x:v>
      </x:c>
    </x:row>
    <x:row r="15">
      <x:c r="A15" t="str">
        <x:v>LUA-SW-20-100</x:v>
      </x:c>
      <x:c r="B15" t="str">
        <x:v>LUA-SW-20-100-EN</x:v>
      </x:c>
      <x:c r="C15" t="str">
        <x:v>EN</x:v>
      </x:c>
      <x:c r="D15" t="str">
        <x:v>LUAMO Trinkhalm schwarz 20 cm, 100 Stück/Karton</x:v>
      </x:c>
      <x:c r="E15"/>
      <x:c r="F15" t="n">
        <x:v>100</x:v>
      </x:c>
      <x:c r="G15" t="str">
        <x:v>Karton</x:v>
      </x:c>
      <x:c r="H15"/>
      <x:c r="I15"/>
      <x:c r="J15" t="str">
        <x:v>Topac</x:v>
      </x:c>
      <x:c r="K15" t="str">
        <x:v>Comprisetec</x:v>
      </x:c>
      <x:c r="L15" t="str">
        <x:v>Planung; GTIN offen</x:v>
      </x:c>
      <x:c r="M15" t="str">
        <x:v>Getrennte Druck-/Lagervariante; GTIN-Vergaberegel final mit GS1 prüfen</x:v>
      </x:c>
    </x:row>
    <x:row r="16">
      <x:c r="A16" t="str">
        <x:v>LUA-SW-20-050</x:v>
      </x:c>
      <x:c r="B16" t="str">
        <x:v>LUA-SW-20-050-DE</x:v>
      </x:c>
      <x:c r="C16" t="str">
        <x:v>DE</x:v>
      </x:c>
      <x:c r="D16" t="str">
        <x:v>LUAMO Trinkhalm schwarz 20 cm, 50 Stück/Karton</x:v>
      </x:c>
      <x:c r="E16"/>
      <x:c r="F16" t="n">
        <x:v>50</x:v>
      </x:c>
      <x:c r="G16" t="str">
        <x:v>Karton</x:v>
      </x:c>
      <x:c r="H16"/>
      <x:c r="I16"/>
      <x:c r="J16" t="str">
        <x:v>Topac</x:v>
      </x:c>
      <x:c r="K16" t="str">
        <x:v>Comprisetec</x:v>
      </x:c>
      <x:c r="L16" t="str">
        <x:v>Planung; GTIN offen</x:v>
      </x:c>
      <x:c r="M16" t="str">
        <x:v>Getrennte Druck-/Lagervariante; GTIN-Vergaberegel final mit GS1 prüfen</x:v>
      </x:c>
    </x:row>
    <x:row r="17">
      <x:c r="A17" t="str">
        <x:v>LUA-SW-20-050</x:v>
      </x:c>
      <x:c r="B17" t="str">
        <x:v>LUA-SW-20-050-EN</x:v>
      </x:c>
      <x:c r="C17" t="str">
        <x:v>EN</x:v>
      </x:c>
      <x:c r="D17" t="str">
        <x:v>LUAMO Trinkhalm schwarz 20 cm, 50 Stück/Karton</x:v>
      </x:c>
      <x:c r="E17"/>
      <x:c r="F17" t="n">
        <x:v>50</x:v>
      </x:c>
      <x:c r="G17" t="str">
        <x:v>Karton</x:v>
      </x:c>
      <x:c r="H17"/>
      <x:c r="I17"/>
      <x:c r="J17" t="str">
        <x:v>Topac</x:v>
      </x:c>
      <x:c r="K17" t="str">
        <x:v>Comprisetec</x:v>
      </x:c>
      <x:c r="L17" t="str">
        <x:v>Planung; GTIN offen</x:v>
      </x:c>
      <x:c r="M17" t="str">
        <x:v>Getrennte Druck-/Lagervariante; GTIN-Vergaberegel final mit GS1 prüfen</x:v>
      </x:c>
    </x:row>
    <x:row r="18">
      <x:c r="A18" t="str">
        <x:v>LUA-GB-GABEL-150</x:v>
      </x:c>
      <x:c r="B18" t="str">
        <x:v>LUA-GB-GABEL-150-DE</x:v>
      </x:c>
      <x:c r="C18" t="str">
        <x:v>DE</x:v>
      </x:c>
      <x:c r="D18" t="str">
        <x:v>LUAMO Gabel – 150er-Karton</x:v>
      </x:c>
      <x:c r="E18"/>
      <x:c r="F18" t="n">
        <x:v>150</x:v>
      </x:c>
      <x:c r="G18" t="str">
        <x:v>Karton</x:v>
      </x:c>
      <x:c r="H18"/>
      <x:c r="I18"/>
      <x:c r="J18" t="str">
        <x:v>Topac</x:v>
      </x:c>
      <x:c r="K18" t="str">
        <x:v>Comprisetec</x:v>
      </x:c>
      <x:c r="L18" t="str">
        <x:v>Planung; GTIN offen</x:v>
      </x:c>
      <x:c r="M18" t="str">
        <x:v>Getrennte Druck-/Lagervariante; GTIN-Vergaberegel final mit GS1 prüfen</x:v>
      </x:c>
    </x:row>
    <x:row r="19">
      <x:c r="A19" t="str">
        <x:v>LUA-GB-GABEL-150</x:v>
      </x:c>
      <x:c r="B19" t="str">
        <x:v>LUA-GB-GABEL-150-EN</x:v>
      </x:c>
      <x:c r="C19" t="str">
        <x:v>EN</x:v>
      </x:c>
      <x:c r="D19" t="str">
        <x:v>LUAMO Gabel – 150er-Karton</x:v>
      </x:c>
      <x:c r="E19"/>
      <x:c r="F19" t="n">
        <x:v>150</x:v>
      </x:c>
      <x:c r="G19" t="str">
        <x:v>Karton</x:v>
      </x:c>
      <x:c r="H19"/>
      <x:c r="I19"/>
      <x:c r="J19" t="str">
        <x:v>Topac</x:v>
      </x:c>
      <x:c r="K19" t="str">
        <x:v>Comprisetec</x:v>
      </x:c>
      <x:c r="L19" t="str">
        <x:v>Planung; GTIN offen</x:v>
      </x:c>
      <x:c r="M19" t="str">
        <x:v>Getrennte Druck-/Lagervariante; GTIN-Vergaberegel final mit GS1 prüfen</x:v>
      </x:c>
    </x:row>
    <x:row r="20">
      <x:c r="A20" t="str">
        <x:v>LUA-GB-LOEFFEL-150</x:v>
      </x:c>
      <x:c r="B20" t="str">
        <x:v>LUA-GB-LOEFFEL-150-DE</x:v>
      </x:c>
      <x:c r="C20" t="str">
        <x:v>DE</x:v>
      </x:c>
      <x:c r="D20" t="str">
        <x:v>LUAMO Löffel – 150er-Karton</x:v>
      </x:c>
      <x:c r="E20"/>
      <x:c r="F20" t="n">
        <x:v>150</x:v>
      </x:c>
      <x:c r="G20" t="str">
        <x:v>Karton</x:v>
      </x:c>
      <x:c r="H20"/>
      <x:c r="I20"/>
      <x:c r="J20" t="str">
        <x:v>Topac</x:v>
      </x:c>
      <x:c r="K20" t="str">
        <x:v>Comprisetec</x:v>
      </x:c>
      <x:c r="L20" t="str">
        <x:v>Planung; GTIN offen</x:v>
      </x:c>
      <x:c r="M20" t="str">
        <x:v>Getrennte Druck-/Lagervariante; GTIN-Vergaberegel final mit GS1 prüfen</x:v>
      </x:c>
    </x:row>
    <x:row r="21">
      <x:c r="A21" t="str">
        <x:v>LUA-GB-LOEFFEL-150</x:v>
      </x:c>
      <x:c r="B21" t="str">
        <x:v>LUA-GB-LOEFFEL-150-EN</x:v>
      </x:c>
      <x:c r="C21" t="str">
        <x:v>EN</x:v>
      </x:c>
      <x:c r="D21" t="str">
        <x:v>LUAMO Löffel – 150er-Karton</x:v>
      </x:c>
      <x:c r="E21"/>
      <x:c r="F21" t="n">
        <x:v>150</x:v>
      </x:c>
      <x:c r="G21" t="str">
        <x:v>Karton</x:v>
      </x:c>
      <x:c r="H21"/>
      <x:c r="I21"/>
      <x:c r="J21" t="str">
        <x:v>Topac</x:v>
      </x:c>
      <x:c r="K21" t="str">
        <x:v>Comprisetec</x:v>
      </x:c>
      <x:c r="L21" t="str">
        <x:v>Planung; GTIN offen</x:v>
      </x:c>
      <x:c r="M21" t="str">
        <x:v>Getrennte Druck-/Lagervariante; GTIN-Vergaberegel final mit GS1 prüfen</x:v>
      </x:c>
    </x:row>
    <x:row r="22">
      <x:c r="A22" t="str">
        <x:v>LUA-GB-MESSER-150</x:v>
      </x:c>
      <x:c r="B22" t="str">
        <x:v>LUA-GB-MESSER-150-DE</x:v>
      </x:c>
      <x:c r="C22" t="str">
        <x:v>DE</x:v>
      </x:c>
      <x:c r="D22" t="str">
        <x:v>LUAMO Messer – 150er-Karton</x:v>
      </x:c>
      <x:c r="E22"/>
      <x:c r="F22" t="n">
        <x:v>150</x:v>
      </x:c>
      <x:c r="G22" t="str">
        <x:v>Karton</x:v>
      </x:c>
      <x:c r="H22"/>
      <x:c r="I22"/>
      <x:c r="J22" t="str">
        <x:v>Topac</x:v>
      </x:c>
      <x:c r="K22" t="str">
        <x:v>Comprisetec</x:v>
      </x:c>
      <x:c r="L22" t="str">
        <x:v>Planung; GTIN offen</x:v>
      </x:c>
      <x:c r="M22" t="str">
        <x:v>Getrennte Druck-/Lagervariante; GTIN-Vergaberegel final mit GS1 prüfen</x:v>
      </x:c>
    </x:row>
    <x:row r="23">
      <x:c r="A23" t="str">
        <x:v>LUA-GB-MESSER-150</x:v>
      </x:c>
      <x:c r="B23" t="str">
        <x:v>LUA-GB-MESSER-150-EN</x:v>
      </x:c>
      <x:c r="C23" t="str">
        <x:v>EN</x:v>
      </x:c>
      <x:c r="D23" t="str">
        <x:v>LUAMO Messer – 150er-Karton</x:v>
      </x:c>
      <x:c r="E23"/>
      <x:c r="F23" t="n">
        <x:v>150</x:v>
      </x:c>
      <x:c r="G23" t="str">
        <x:v>Karton</x:v>
      </x:c>
      <x:c r="H23"/>
      <x:c r="I23"/>
      <x:c r="J23" t="str">
        <x:v>Topac</x:v>
      </x:c>
      <x:c r="K23" t="str">
        <x:v>Comprisetec</x:v>
      </x:c>
      <x:c r="L23" t="str">
        <x:v>Planung; GTIN offen</x:v>
      </x:c>
      <x:c r="M23" t="str">
        <x:v>Getrennte Druck-/Lagervariante; GTIN-Vergaberegel final mit GS1 prüfen</x:v>
      </x:c>
    </x:row>
    <x:row r="24">
      <x:c r="A24" t="str">
        <x:v>LUA-GB-MIX-150</x:v>
      </x:c>
      <x:c r="B24" t="str">
        <x:v>LUA-GB-MIX-150-DE</x:v>
      </x:c>
      <x:c r="C24" t="str">
        <x:v>DE</x:v>
      </x:c>
      <x:c r="D24" t="str">
        <x:v>LUAMO Großbesteck Mix – 150er-Karton</x:v>
      </x:c>
      <x:c r="E24"/>
      <x:c r="F24" t="n">
        <x:v>150</x:v>
      </x:c>
      <x:c r="G24" t="str">
        <x:v>Karton</x:v>
      </x:c>
      <x:c r="H24"/>
      <x:c r="I24"/>
      <x:c r="J24" t="str">
        <x:v>Topac</x:v>
      </x:c>
      <x:c r="K24" t="str">
        <x:v>Comprisetec</x:v>
      </x:c>
      <x:c r="L24" t="str">
        <x:v>Planung; GTIN offen</x:v>
      </x:c>
      <x:c r="M24" t="str">
        <x:v>Getrennte Druck-/Lagervariante; GTIN-Vergaberegel final mit GS1 prüfen</x:v>
      </x:c>
    </x:row>
    <x:row r="25">
      <x:c r="A25" t="str">
        <x:v>LUA-GB-MIX-150</x:v>
      </x:c>
      <x:c r="B25" t="str">
        <x:v>LUA-GB-MIX-150-EN</x:v>
      </x:c>
      <x:c r="C25" t="str">
        <x:v>EN</x:v>
      </x:c>
      <x:c r="D25" t="str">
        <x:v>LUAMO Großbesteck Mix – 150er-Karton</x:v>
      </x:c>
      <x:c r="E25"/>
      <x:c r="F25" t="n">
        <x:v>150</x:v>
      </x:c>
      <x:c r="G25" t="str">
        <x:v>Karton</x:v>
      </x:c>
      <x:c r="H25"/>
      <x:c r="I25"/>
      <x:c r="J25" t="str">
        <x:v>Topac</x:v>
      </x:c>
      <x:c r="K25" t="str">
        <x:v>Comprisetec</x:v>
      </x:c>
      <x:c r="L25" t="str">
        <x:v>Planung; GTIN offen</x:v>
      </x:c>
      <x:c r="M25" t="str">
        <x:v>Getrennte Druck-/Lagervariante; GTIN-Vergaberegel final mit GS1 prüfen</x:v>
      </x:c>
    </x:row>
    <x:row r="26">
      <x:c r="A26" t="str">
        <x:v>LUA-KB-EIS-500</x:v>
      </x:c>
      <x:c r="B26" t="str">
        <x:v>LUA-KB-EIS-500-DE</x:v>
      </x:c>
      <x:c r="C26" t="str">
        <x:v>DE</x:v>
      </x:c>
      <x:c r="D26" t="str">
        <x:v>LUAMO Eislöffel – 500er-Karton</x:v>
      </x:c>
      <x:c r="E26"/>
      <x:c r="F26" t="n">
        <x:v>500</x:v>
      </x:c>
      <x:c r="G26" t="str">
        <x:v>Karton</x:v>
      </x:c>
      <x:c r="H26"/>
      <x:c r="I26"/>
      <x:c r="J26" t="str">
        <x:v>Topac</x:v>
      </x:c>
      <x:c r="K26" t="str">
        <x:v>Comprisetec</x:v>
      </x:c>
      <x:c r="L26" t="str">
        <x:v>Planung; GTIN offen</x:v>
      </x:c>
      <x:c r="M26" t="str">
        <x:v>Getrennte Druck-/Lagervariante; GTIN-Vergaberegel final mit GS1 prüfen</x:v>
      </x:c>
    </x:row>
    <x:row r="27">
      <x:c r="A27" t="str">
        <x:v>LUA-KB-EIS-500</x:v>
      </x:c>
      <x:c r="B27" t="str">
        <x:v>LUA-KB-EIS-500-EN</x:v>
      </x:c>
      <x:c r="C27" t="str">
        <x:v>EN</x:v>
      </x:c>
      <x:c r="D27" t="str">
        <x:v>LUAMO Eislöffel – 500er-Karton</x:v>
      </x:c>
      <x:c r="E27"/>
      <x:c r="F27" t="n">
        <x:v>500</x:v>
      </x:c>
      <x:c r="G27" t="str">
        <x:v>Karton</x:v>
      </x:c>
      <x:c r="H27"/>
      <x:c r="I27"/>
      <x:c r="J27" t="str">
        <x:v>Topac</x:v>
      </x:c>
      <x:c r="K27" t="str">
        <x:v>Comprisetec</x:v>
      </x:c>
      <x:c r="L27" t="str">
        <x:v>Planung; GTIN offen</x:v>
      </x:c>
      <x:c r="M27" t="str">
        <x:v>Getrennte Druck-/Lagervariante; GTIN-Vergaberegel final mit GS1 prüfen</x:v>
      </x:c>
    </x:row>
    <x:row r="28">
      <x:c r="A28" t="str">
        <x:v>LUA-KB-POMMES-500</x:v>
      </x:c>
      <x:c r="B28" t="str">
        <x:v>LUA-KB-POMMES-500-DE</x:v>
      </x:c>
      <x:c r="C28" t="str">
        <x:v>DE</x:v>
      </x:c>
      <x:c r="D28" t="str">
        <x:v>LUAMO Pommespicker – 500er-Karton</x:v>
      </x:c>
      <x:c r="E28"/>
      <x:c r="F28" t="n">
        <x:v>500</x:v>
      </x:c>
      <x:c r="G28" t="str">
        <x:v>Karton</x:v>
      </x:c>
      <x:c r="H28"/>
      <x:c r="I28"/>
      <x:c r="J28" t="str">
        <x:v>Topac</x:v>
      </x:c>
      <x:c r="K28" t="str">
        <x:v>Comprisetec</x:v>
      </x:c>
      <x:c r="L28" t="str">
        <x:v>Planung; GTIN offen</x:v>
      </x:c>
      <x:c r="M28" t="str">
        <x:v>Getrennte Druck-/Lagervariante; GTIN-Vergaberegel final mit GS1 prüfen</x:v>
      </x:c>
    </x:row>
    <x:row r="29">
      <x:c r="A29" t="str">
        <x:v>LUA-KB-POMMES-500</x:v>
      </x:c>
      <x:c r="B29" t="str">
        <x:v>LUA-KB-POMMES-500-EN</x:v>
      </x:c>
      <x:c r="C29" t="str">
        <x:v>EN</x:v>
      </x:c>
      <x:c r="D29" t="str">
        <x:v>LUAMO Pommespicker – 500er-Karton</x:v>
      </x:c>
      <x:c r="E29"/>
      <x:c r="F29" t="n">
        <x:v>500</x:v>
      </x:c>
      <x:c r="G29" t="str">
        <x:v>Karton</x:v>
      </x:c>
      <x:c r="H29"/>
      <x:c r="I29"/>
      <x:c r="J29" t="str">
        <x:v>Topac</x:v>
      </x:c>
      <x:c r="K29" t="str">
        <x:v>Comprisetec</x:v>
      </x:c>
      <x:c r="L29" t="str">
        <x:v>Planung; GTIN offen</x:v>
      </x:c>
      <x:c r="M29" t="str">
        <x:v>Getrennte Druck-/Lagervariante; GTIN-Vergaberegel final mit GS1 prüfen</x:v>
      </x:c>
    </x:row>
    <x:row r="30">
      <x:c r="A30" t="str">
        <x:v>LUA-MUSTER-BESTECK</x:v>
      </x:c>
      <x:c r="B30" t="str">
        <x:v>LUA-MUSTER-BESTECK-DE</x:v>
      </x:c>
      <x:c r="C30" t="str">
        <x:v>DE</x:v>
      </x:c>
      <x:c r="D30" t="str">
        <x:v>LUAMO Musterkarton Besteck</x:v>
      </x:c>
      <x:c r="E30"/>
      <x:c r="F30"/>
      <x:c r="G30" t="str">
        <x:v>Musterkarton</x:v>
      </x:c>
      <x:c r="H30"/>
      <x:c r="I30"/>
      <x:c r="J30" t="str">
        <x:v>Topac</x:v>
      </x:c>
      <x:c r="K30" t="str">
        <x:v>Comprisetec</x:v>
      </x:c>
      <x:c r="L30" t="str">
        <x:v>Planung; GTIN offen</x:v>
      </x:c>
      <x:c r="M30" t="str">
        <x:v>Getrennte Druck-/Lagervariante; GTIN-Vergaberegel final mit GS1 prüfen</x:v>
      </x:c>
    </x:row>
    <x:row r="31">
      <x:c r="A31" t="str">
        <x:v>LUA-MUSTER-BESTECK</x:v>
      </x:c>
      <x:c r="B31" t="str">
        <x:v>LUA-MUSTER-BESTECK-EN</x:v>
      </x:c>
      <x:c r="C31" t="str">
        <x:v>EN</x:v>
      </x:c>
      <x:c r="D31" t="str">
        <x:v>LUAMO Musterkarton Besteck</x:v>
      </x:c>
      <x:c r="E31"/>
      <x:c r="F31"/>
      <x:c r="G31" t="str">
        <x:v>Musterkarton</x:v>
      </x:c>
      <x:c r="H31"/>
      <x:c r="I31"/>
      <x:c r="J31" t="str">
        <x:v>Topac</x:v>
      </x:c>
      <x:c r="K31" t="str">
        <x:v>Comprisetec</x:v>
      </x:c>
      <x:c r="L31" t="str">
        <x:v>Planung; GTIN offen</x:v>
      </x:c>
      <x:c r="M31" t="str">
        <x:v>Getrennte Druck-/Lagervariante; GTIN-Vergaberegel final mit GS1 prüfen</x:v>
      </x:c>
    </x:row>
    <x:row r="32">
      <x:c r="A32" t="str">
        <x:v>LUA-MUSTER-STROH</x:v>
      </x:c>
      <x:c r="B32" t="str">
        <x:v>LUA-MUSTER-STROH-DE</x:v>
      </x:c>
      <x:c r="C32" t="str">
        <x:v>DE</x:v>
      </x:c>
      <x:c r="D32" t="str">
        <x:v>LUAMO Musterkarton Trinkhalme – 50 Stück</x:v>
      </x:c>
      <x:c r="E32"/>
      <x:c r="F32" t="n">
        <x:v>50</x:v>
      </x:c>
      <x:c r="G32" t="str">
        <x:v>Musterkarton</x:v>
      </x:c>
      <x:c r="H32"/>
      <x:c r="I32"/>
      <x:c r="J32" t="str">
        <x:v>Topac</x:v>
      </x:c>
      <x:c r="K32" t="str">
        <x:v>Comprisetec</x:v>
      </x:c>
      <x:c r="L32" t="str">
        <x:v>Planung; GTIN offen</x:v>
      </x:c>
      <x:c r="M32" t="str">
        <x:v>Getrennte Druck-/Lagervariante; GTIN-Vergaberegel final mit GS1 prüfen</x:v>
      </x:c>
    </x:row>
    <x:row r="33">
      <x:c r="A33" t="str">
        <x:v>LUA-MUSTER-STROH</x:v>
      </x:c>
      <x:c r="B33" t="str">
        <x:v>LUA-MUSTER-STROH-EN</x:v>
      </x:c>
      <x:c r="C33" t="str">
        <x:v>EN</x:v>
      </x:c>
      <x:c r="D33" t="str">
        <x:v>LUAMO Musterkarton Trinkhalme – 50 Stück</x:v>
      </x:c>
      <x:c r="E33"/>
      <x:c r="F33" t="n">
        <x:v>50</x:v>
      </x:c>
      <x:c r="G33" t="str">
        <x:v>Musterkarton</x:v>
      </x:c>
      <x:c r="H33"/>
      <x:c r="I33"/>
      <x:c r="J33" t="str">
        <x:v>Topac</x:v>
      </x:c>
      <x:c r="K33" t="str">
        <x:v>Comprisetec</x:v>
      </x:c>
      <x:c r="L33" t="str">
        <x:v>Planung; GTIN offen</x:v>
      </x:c>
      <x:c r="M33" t="str">
        <x:v>Getrennte Druck-/Lagervariante; GTIN-Vergaberegel final mit GS1 prüfen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27" hidden="0" customWidth="1"/>
    <x:col min="4" max="4" width="39" hidden="0" customWidth="1"/>
    <x:col min="5" max="5" width="19" hidden="0" customWidth="1"/>
    <x:col min="6" max="6" width="13" hidden="0" customWidth="1"/>
    <x:col min="7" max="7" width="23" hidden="0" customWidth="1"/>
    <x:col min="8" max="8" width="43" hidden="0" customWidth="1"/>
  </x:cols>
  <x:sheetData>
    <x:row r="1">
      <x:c r="A1" t="str">
        <x:v>LUAMO | Musterboxen – Beileger / Flyer DE &amp; EN</x:v>
      </x:c>
      <x:c r="B1" t="str">
        <x:v>LUAMO | Musterboxen – Beileger / Flyer DE &amp; EN</x:v>
      </x:c>
      <x:c r="C1" t="str">
        <x:v>LUAMO | Musterboxen – Beileger / Flyer DE &amp; EN</x:v>
      </x:c>
      <x:c r="D1" t="str">
        <x:v>LUAMO | Musterboxen – Beileger / Flyer DE &amp; EN</x:v>
      </x:c>
      <x:c r="E1" t="str">
        <x:v>LUAMO | Musterboxen – Beileger / Flyer DE &amp; EN</x:v>
      </x:c>
      <x:c r="F1" t="str">
        <x:v>LUAMO | Musterboxen – Beileger / Flyer DE &amp; EN</x:v>
      </x:c>
      <x:c r="G1" t="str">
        <x:v>LUAMO | Musterboxen – Beileger / Flyer DE &amp; EN</x:v>
      </x:c>
      <x:c r="H1" t="str">
        <x:v>LUAMO | Musterboxen – Beileger / Flyer DE &amp; EN</x:v>
      </x:c>
    </x:row>
    <x:row r="2">
      <x:c r="A2" t="str">
        <x:v>Bedarfsstückliste: je Musterbox 1 sprachlich passender Druckbeileger. Separate interne Material-SKUs (Vorschlag).</x:v>
      </x:c>
      <x:c r="B2" t="str">
        <x:v>Bedarfsstückliste: je Musterbox 1 sprachlich passender Druckbeileger. Separate interne Material-SKUs (Vorschlag).</x:v>
      </x:c>
      <x:c r="C2" t="str">
        <x:v>Bedarfsstückliste: je Musterbox 1 sprachlich passender Druckbeileger. Separate interne Material-SKUs (Vorschlag).</x:v>
      </x:c>
      <x:c r="D2" t="str">
        <x:v>Bedarfsstückliste: je Musterbox 1 sprachlich passender Druckbeileger. Separate interne Material-SKUs (Vorschlag).</x:v>
      </x:c>
      <x:c r="E2" t="str">
        <x:v>Bedarfsstückliste: je Musterbox 1 sprachlich passender Druckbeileger. Separate interne Material-SKUs (Vorschlag).</x:v>
      </x:c>
      <x:c r="F2" t="str">
        <x:v>Bedarfsstückliste: je Musterbox 1 sprachlich passender Druckbeileger. Separate interne Material-SKUs (Vorschlag).</x:v>
      </x:c>
      <x:c r="G2" t="str">
        <x:v>Bedarfsstückliste: je Musterbox 1 sprachlich passender Druckbeileger. Separate interne Material-SKUs (Vorschlag).</x:v>
      </x:c>
      <x:c r="H2" t="str">
        <x:v>Bedarfsstückliste: je Musterbox 1 sprachlich passender Druckbeileger. Separate interne Material-SKUs (Vorschlag).</x:v>
      </x:c>
    </x:row>
    <x:row r="4" ht="32" customHeight="1">
      <x:c r="A4" s="71" t="str">
        <x:v>Musterbox Artikelnummer</x:v>
      </x:c>
      <x:c r="B4" s="71" t="str">
        <x:v>Sprache</x:v>
      </x:c>
      <x:c r="C4" s="71" t="str">
        <x:v>Einlage Artikelnummer</x:v>
      </x:c>
      <x:c r="D4" s="71" t="str">
        <x:v>Einlage Bezeichnung</x:v>
      </x:c>
      <x:c r="E4" s="71" t="str">
        <x:v>Menge / Musterbox</x:v>
      </x:c>
      <x:c r="F4" s="71" t="str">
        <x:v>Einheit</x:v>
      </x:c>
      <x:c r="G4" s="71" t="str">
        <x:v>Druckdaten / Freigabe</x:v>
      </x:c>
      <x:c r="H4" s="71" t="str">
        <x:v>Bemerkung</x:v>
      </x:c>
    </x:row>
    <x:row r="5" ht="29" customHeight="1">
      <x:c r="A5" s="37" t="str">
        <x:v>LUA-MUSTER-BESTECK-DE</x:v>
      </x:c>
      <x:c r="B5" s="37" t="str">
        <x:v>DE</x:v>
      </x:c>
      <x:c r="C5" s="37" t="str">
        <x:v>LUA-EINL-BESTECK-DE</x:v>
      </x:c>
      <x:c r="D5" s="37" t="str">
        <x:v>LUAMO Besteck Beileger Deutsch</x:v>
      </x:c>
      <x:c r="E5" s="37" t="n">
        <x:v>1</x:v>
      </x:c>
      <x:c r="F5" s="37" t="str">
        <x:v>Stück</x:v>
      </x:c>
      <x:c r="G5" s="37" t="str">
        <x:v>offen</x:v>
      </x:c>
      <x:c r="H5" s="37" t="str">
        <x:v>Bestückung und Inhalte abstimmen</x:v>
      </x:c>
    </x:row>
    <x:row r="6" ht="29" customHeight="1">
      <x:c r="A6" s="37" t="str">
        <x:v>LUA-MUSTER-BESTECK-EN</x:v>
      </x:c>
      <x:c r="B6" s="37" t="str">
        <x:v>EN</x:v>
      </x:c>
      <x:c r="C6" s="37" t="str">
        <x:v>LUA-EINL-BESTECK-EN</x:v>
      </x:c>
      <x:c r="D6" s="37" t="str">
        <x:v>LUAMO Cutlery Insert English</x:v>
      </x:c>
      <x:c r="E6" s="37" t="n">
        <x:v>1</x:v>
      </x:c>
      <x:c r="F6" s="37" t="str">
        <x:v>Stück</x:v>
      </x:c>
      <x:c r="G6" s="37" t="str">
        <x:v>offen</x:v>
      </x:c>
      <x:c r="H6" s="37" t="str">
        <x:v>English copy and artwork pending</x:v>
      </x:c>
    </x:row>
    <x:row r="7" ht="29" customHeight="1">
      <x:c r="A7" s="37" t="str">
        <x:v>LUA-MUSTER-STROH-DE</x:v>
      </x:c>
      <x:c r="B7" s="37" t="str">
        <x:v>DE</x:v>
      </x:c>
      <x:c r="C7" s="37" t="str">
        <x:v>LUA-FLYER-STROH-DE</x:v>
      </x:c>
      <x:c r="D7" s="37" t="str">
        <x:v>LUAMO Trinkhalme Flyer Deutsch</x:v>
      </x:c>
      <x:c r="E7" s="37" t="n">
        <x:v>1</x:v>
      </x:c>
      <x:c r="F7" s="37" t="str">
        <x:v>Stück</x:v>
      </x:c>
      <x:c r="G7" s="37" t="str">
        <x:v>offen</x:v>
      </x:c>
      <x:c r="H7" s="37" t="str">
        <x:v>50 Trinkhalme; Längenmix offen</x:v>
      </x:c>
    </x:row>
    <x:row r="8" ht="29" customHeight="1">
      <x:c r="A8" s="37" t="str">
        <x:v>LUA-MUSTER-STROH-EN</x:v>
      </x:c>
      <x:c r="B8" s="37" t="str">
        <x:v>EN</x:v>
      </x:c>
      <x:c r="C8" s="37" t="str">
        <x:v>LUA-FLYER-STROH-EN</x:v>
      </x:c>
      <x:c r="D8" s="37" t="str">
        <x:v>LUAMO Straws Flyer English</x:v>
      </x:c>
      <x:c r="E8" s="37" t="n">
        <x:v>1</x:v>
      </x:c>
      <x:c r="F8" s="37" t="str">
        <x:v>Stück</x:v>
      </x:c>
      <x:c r="G8" s="37" t="str">
        <x:v>offen</x:v>
      </x:c>
      <x:c r="H8" s="37" t="str">
        <x:v>50 straws; length mix pending</x:v>
      </x:c>
    </x:row>
  </x:sheetData>
  <x:pageMargins left="0.7" right="0.7" top="0.75" bottom="0.75" header="0.3" footer="0.3"/>
</x:worksheet>
</file>