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/Users/bjorngallenkamp/Downloads/"/>
    </mc:Choice>
  </mc:AlternateContent>
  <xr:revisionPtr revIDLastSave="0" documentId="13_ncr:1_{0C4A6477-C01D-784B-A95F-34CB7778A202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Leads" sheetId="1" r:id="rId1"/>
    <sheet name="Firmen" sheetId="2" r:id="rId2"/>
    <sheet name="Kontakte" sheetId="3" r:id="rId3"/>
    <sheet name="Origin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4" l="1"/>
  <c r="J4" i="1"/>
  <c r="H4" i="1"/>
  <c r="F4" i="1"/>
  <c r="D4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5" authorId="0" shapeId="0" xr:uid="{00000000-0006-0000-0300-000003000000}">
      <text>
        <r>
          <rPr>
            <sz val="11"/>
            <rFont val="Carlito"/>
          </rPr>
          <t>Ursprünglicher Hyperlink: mailto:everbeek@sierdisposables.nl</t>
        </r>
      </text>
    </comment>
    <comment ref="I26" authorId="0" shapeId="0" xr:uid="{00000000-0006-0000-0300-000004000000}">
      <text>
        <r>
          <rPr>
            <sz val="11"/>
            <rFont val="Carlito"/>
          </rPr>
          <t>Ursprünglicher Hyperlink: mailto:holger.lechte@nette-deutschland.de</t>
        </r>
      </text>
    </comment>
    <comment ref="H27" authorId="0" shapeId="0" xr:uid="{00000000-0006-0000-0300-000001000000}">
      <text>
        <r>
          <rPr>
            <sz val="11"/>
            <rFont val="Carlito"/>
          </rPr>
          <t>Stefan Hannebauer:
Hr. Lehner 
Fest: +49 6192 990 216</t>
        </r>
      </text>
    </comment>
    <comment ref="I27" authorId="0" shapeId="0" xr:uid="{00000000-0006-0000-0300-000002000000}">
      <text>
        <r>
          <rPr>
            <sz val="11"/>
            <rFont val="Carlito"/>
          </rPr>
          <t>Stefan Hannebauer:
Einkäufer: 
Henning Holtz
Mail wahrscheinlich: 
henning.holtz@klarpac.de</t>
        </r>
      </text>
    </comment>
    <comment ref="I33" authorId="0" shapeId="0" xr:uid="{00000000-0006-0000-0300-000005000000}">
      <text>
        <r>
          <rPr>
            <sz val="11"/>
            <rFont val="Carlito"/>
          </rPr>
          <t>Ursprünglicher Hyperlink: mailto:Stephanie.Fuesgen@igefa.de,%20ibrahim.chalabi@igefa.de</t>
        </r>
      </text>
    </comment>
    <comment ref="I34" authorId="0" shapeId="0" xr:uid="{00000000-0006-0000-0300-000006000000}">
      <text>
        <r>
          <rPr>
            <sz val="11"/>
            <rFont val="Carlito"/>
          </rPr>
          <t>Ursprünglicher Hyperlink: mailto:birgit.rosenstein@edeka.de</t>
        </r>
      </text>
    </comment>
    <comment ref="I35" authorId="0" shapeId="0" xr:uid="{00000000-0006-0000-0300-000007000000}">
      <text>
        <r>
          <rPr>
            <sz val="11"/>
            <rFont val="Carlito"/>
          </rPr>
          <t>Ursprünglicher Hyperlink: mailto:f.ebrecht@niemerszein.de</t>
        </r>
      </text>
    </comment>
    <comment ref="I36" authorId="0" shapeId="0" xr:uid="{00000000-0006-0000-0300-000008000000}">
      <text>
        <r>
          <rPr>
            <sz val="11"/>
            <rFont val="Carlito"/>
          </rPr>
          <t>Ursprünglicher Hyperlink: mailto:Frank.Golombek@magnumicecream.com</t>
        </r>
      </text>
    </comment>
  </commentList>
</comments>
</file>

<file path=xl/sharedStrings.xml><?xml version="1.0" encoding="utf-8"?>
<sst xmlns="http://schemas.openxmlformats.org/spreadsheetml/2006/main" count="1635" uniqueCount="922">
  <si>
    <t>VERTRIEB · Leadliste</t>
  </si>
  <si>
    <t>Leads</t>
  </si>
  <si>
    <t>Firmen</t>
  </si>
  <si>
    <t>Potenzial (t)</t>
  </si>
  <si>
    <t>Ohne Menge</t>
  </si>
  <si>
    <t>Erfasste Ansprechpartner</t>
  </si>
  <si>
    <t>Mengen = Schätzungen aus der Vorlage. Zeitraum nicht angegeben; igefa / IKEA möglicherweise überlappend. Keine Aufträge.</t>
  </si>
  <si>
    <t>Arbeitsfelder gelb: Status → Zuständig → Nächster Schritt → Wiedervorlage. Erste Aufgaben sind Vorschläge; leere Felder bleiben offen.</t>
  </si>
  <si>
    <t>Stand 27.09.2026 · Über Firmen-ID sind Chancen, Firmen und Kontakte verbunden. Filter in der Kopfzeile nutzen.</t>
  </si>
  <si>
    <t>Arbeitsblätter: Leads · Firmen · Kontakte · Original</t>
  </si>
  <si>
    <t>Lead-ID</t>
  </si>
  <si>
    <t>Chance / Zielkunde</t>
  </si>
  <si>
    <t>Firmen-ID</t>
  </si>
  <si>
    <t>Produktbedarf</t>
  </si>
  <si>
    <t>Status</t>
  </si>
  <si>
    <t>Priorität</t>
  </si>
  <si>
    <t>Zuständig</t>
  </si>
  <si>
    <t>Nächster Schritt</t>
  </si>
  <si>
    <t>Wiedervorlage</t>
  </si>
  <si>
    <t>Kontaktmonat Vorlage</t>
  </si>
  <si>
    <t>Termin Vorlage</t>
  </si>
  <si>
    <t>Herkunft / Kürzel</t>
  </si>
  <si>
    <t>Gaiasip-Interesse</t>
  </si>
  <si>
    <t>Prüfhinweis</t>
  </si>
  <si>
    <t>Gesprächsnotiz</t>
  </si>
  <si>
    <t>Originalzeile</t>
  </si>
  <si>
    <t>L001</t>
  </si>
  <si>
    <t>FFC · Verpackungen</t>
  </si>
  <si>
    <t>F001</t>
  </si>
  <si>
    <t>Kompostierbare Verpackung</t>
  </si>
  <si>
    <t>Stand prüfen</t>
  </si>
  <si>
    <t>Offen</t>
  </si>
  <si>
    <t>Bedarf, Bezugszeitraum und nächsten Termin bestätigen.</t>
  </si>
  <si>
    <t>Bezugszeitraum der Menge offen</t>
  </si>
  <si>
    <t>L002</t>
  </si>
  <si>
    <t>Sunday Natural · Messlöffel</t>
  </si>
  <si>
    <t>F002</t>
  </si>
  <si>
    <t>Messlöffel</t>
  </si>
  <si>
    <t>L003</t>
  </si>
  <si>
    <t>Göttinger · Eislöffel / Becher</t>
  </si>
  <si>
    <t>F003</t>
  </si>
  <si>
    <t>Eislöffel / Becher</t>
  </si>
  <si>
    <t>L004</t>
  </si>
  <si>
    <t>SETU Arena · Besteck</t>
  </si>
  <si>
    <t>F004</t>
  </si>
  <si>
    <t>Besteck</t>
  </si>
  <si>
    <t>L005</t>
  </si>
  <si>
    <t>Festag / ELCO · Besteck</t>
  </si>
  <si>
    <t>F005</t>
  </si>
  <si>
    <t>ELCO-Zuständigkeit und Erreichbarkeit von Uwe Sahmer bestätigen.</t>
  </si>
  <si>
    <t>ELCO-Integration / Ansprechpartner</t>
  </si>
  <si>
    <t>L006</t>
  </si>
  <si>
    <t>Florida-Eis · Eislöffel</t>
  </si>
  <si>
    <t>F006</t>
  </si>
  <si>
    <t>Eislöffel</t>
  </si>
  <si>
    <t>L007</t>
  </si>
  <si>
    <t>Blackpool · Besteck</t>
  </si>
  <si>
    <t>F007</t>
  </si>
  <si>
    <t>L008</t>
  </si>
  <si>
    <t>CAMONSITE · Festival Juni 2026</t>
  </si>
  <si>
    <t>F008</t>
  </si>
  <si>
    <t>Zu klären</t>
  </si>
  <si>
    <t>Ergebnis des Festivals Juni 2026 und Folgeprojekte klären.</t>
  </si>
  <si>
    <t>Eventtermin bereits vergangen</t>
  </si>
  <si>
    <t>L009</t>
  </si>
  <si>
    <t>Akzente · Besteck</t>
  </si>
  <si>
    <t>F009</t>
  </si>
  <si>
    <t>Richtige persönliche E-Mail über Akzente-Zentrale bestätigen.</t>
  </si>
  <si>
    <t>E-Mail-Domain auffällig</t>
  </si>
  <si>
    <t>L010</t>
  </si>
  <si>
    <t>NAWA · Messlöffel</t>
  </si>
  <si>
    <t>F010</t>
  </si>
  <si>
    <t>L011</t>
  </si>
  <si>
    <t>PortAventura · Besteck</t>
  </si>
  <si>
    <t>F011</t>
  </si>
  <si>
    <t>L012</t>
  </si>
  <si>
    <t>Sustainium · Besteck</t>
  </si>
  <si>
    <t>F012</t>
  </si>
  <si>
    <t>Sustainium-Zuordnung der Ansprechpartner und Lieferbedarf klären.</t>
  </si>
  <si>
    <t>Adresse / Kontaktzuordnung</t>
  </si>
  <si>
    <t>L013</t>
  </si>
  <si>
    <t>Wonderwood · Besteck</t>
  </si>
  <si>
    <t>F013</t>
  </si>
  <si>
    <t>L014</t>
  </si>
  <si>
    <t>Skånes Djurpark · Besteck</t>
  </si>
  <si>
    <t>F014</t>
  </si>
  <si>
    <t>L015</t>
  </si>
  <si>
    <t>Unique Party · Besteck</t>
  </si>
  <si>
    <t>F015</t>
  </si>
  <si>
    <t>L016</t>
  </si>
  <si>
    <t>DB Gastronomie · Besteck</t>
  </si>
  <si>
    <t>F016</t>
  </si>
  <si>
    <t>L017</t>
  </si>
  <si>
    <t>Uber Eats · Besteck</t>
  </si>
  <si>
    <t>F017</t>
  </si>
  <si>
    <t>Potenzial von 267 t, Bezugszeitraum und Einkaufszuständigkeit bestätigen.</t>
  </si>
  <si>
    <t>Aliza / Alisa; hohes Mengenpotenzial bestätigen</t>
  </si>
  <si>
    <t>L018</t>
  </si>
  <si>
    <t>Bluestone · Besteck</t>
  </si>
  <si>
    <t>F018</t>
  </si>
  <si>
    <t>L019</t>
  </si>
  <si>
    <t>Gelamor · Besteck</t>
  </si>
  <si>
    <t>F019</t>
  </si>
  <si>
    <t>L020</t>
  </si>
  <si>
    <t>Aramark · Besteck</t>
  </si>
  <si>
    <t>F020</t>
  </si>
  <si>
    <t>L021</t>
  </si>
  <si>
    <t>igefa · Besteck</t>
  </si>
  <si>
    <t>F021</t>
  </si>
  <si>
    <t>10 t von IKEA-Chance abgrenzen; Termin aus Vorlage nachhalten.</t>
  </si>
  <si>
    <t>Mögliche Überschneidung mit L031</t>
  </si>
  <si>
    <t>L022</t>
  </si>
  <si>
    <t>Ragaller · „ice s“</t>
  </si>
  <si>
    <t>F022</t>
  </si>
  <si>
    <t>„ice s“ – zu klären</t>
  </si>
  <si>
    <t>Einkaufsansprechpartner und Bedeutung von „ice s“ klären.</t>
  </si>
  <si>
    <t>Produktkürzel / Ansprechpartner offen</t>
  </si>
  <si>
    <t>L023</t>
  </si>
  <si>
    <t>Sier Disposables</t>
  </si>
  <si>
    <t>F023</t>
  </si>
  <si>
    <t>Produktbedarf und Zuordnung der Mobilnummer bestätigen.</t>
  </si>
  <si>
    <t>internorga</t>
  </si>
  <si>
    <t>Ja</t>
  </si>
  <si>
    <t>Mobilnummer nicht sicher zugeordnet</t>
  </si>
  <si>
    <t>L024</t>
  </si>
  <si>
    <t>Nette Deutschland</t>
  </si>
  <si>
    <t>F024</t>
  </si>
  <si>
    <t>L025</t>
  </si>
  <si>
    <t>Klarpac</t>
  </si>
  <si>
    <t>F025</t>
  </si>
  <si>
    <t>Längenbedarf besprechen; Henning Holtz und richtige E-Mail bestätigen.</t>
  </si>
  <si>
    <t>Henning: E-Mail nur vermutet</t>
  </si>
  <si>
    <t>Verschiedene Längen interessant</t>
  </si>
  <si>
    <t>L026</t>
  </si>
  <si>
    <t>Tulip · Besteck</t>
  </si>
  <si>
    <t>F026</t>
  </si>
  <si>
    <t>Potenzial von 288 t und Bezugszeitraum mit Arend Köller bestätigen.</t>
  </si>
  <si>
    <t>Hohes Mengenpotenzial bestätigen</t>
  </si>
  <si>
    <t>L027</t>
  </si>
  <si>
    <t>Gelato49 · Eislöffel</t>
  </si>
  <si>
    <t>F027</t>
  </si>
  <si>
    <t>L028</t>
  </si>
  <si>
    <t>Greenbox · Tischprodukte</t>
  </si>
  <si>
    <t>F028</t>
  </si>
  <si>
    <t>Tischprodukte</t>
  </si>
  <si>
    <t>Rolle des externen Kontakts klären</t>
  </si>
  <si>
    <t>L029</t>
  </si>
  <si>
    <t>BUNZL · Besteck</t>
  </si>
  <si>
    <t>F029</t>
  </si>
  <si>
    <t>Namensschreibweise des Ansprechpartners und nächsten Termin bestätigen.</t>
  </si>
  <si>
    <t>Motokallemi / Motekallemi</t>
  </si>
  <si>
    <t>L030</t>
  </si>
  <si>
    <t>Duni · Tischprodukte</t>
  </si>
  <si>
    <t>F030</t>
  </si>
  <si>
    <t>Namensschreibweise Marie Davis/Davies und Bedarf bestätigen.</t>
  </si>
  <si>
    <t>Davis / Davies</t>
  </si>
  <si>
    <t>L031</t>
  </si>
  <si>
    <t>IKEA europaweit · über igefa</t>
  </si>
  <si>
    <t>17 t von igefa-Chance abgrenzen; Endkunden- und Produktumfang klären.</t>
  </si>
  <si>
    <t>Mögliche Überschneidung mit L021</t>
  </si>
  <si>
    <t>L032</t>
  </si>
  <si>
    <t>EDEKA Zentrale</t>
  </si>
  <si>
    <t>F031</t>
  </si>
  <si>
    <t>Rechtsträger, Produktbedarf und Potenzial mit Birgit Rosenstein klären.</t>
  </si>
  <si>
    <t>mr</t>
  </si>
  <si>
    <t>Gruppenzentrale ≠ bestätigter Rechtsträger</t>
  </si>
  <si>
    <t>L033</t>
  </si>
  <si>
    <t>EDEKA Niemerszein</t>
  </si>
  <si>
    <t>F032</t>
  </si>
  <si>
    <t>Produktbedarf, Potenzial und Ergebnis des Julitermins klären.</t>
  </si>
  <si>
    <t>Produktbedarf und Menge offen</t>
  </si>
  <si>
    <t>L034</t>
  </si>
  <si>
    <t>Magnum / Langnese</t>
  </si>
  <si>
    <t>F033</t>
  </si>
  <si>
    <t>Aktuelle Firmierung, Produktbedarf und Potenzial klären.</t>
  </si>
  <si>
    <t>Aktuelle Firmierung prüfen</t>
  </si>
  <si>
    <t>L035</t>
  </si>
  <si>
    <t>Kieler Woche</t>
  </si>
  <si>
    <t>F034</t>
  </si>
  <si>
    <t>Einkaufskontakt, Eventjahr, Produktbedarf und Menge beim Referat erfragen.</t>
  </si>
  <si>
    <t>Ansprechpartner / Eventjahr offen</t>
  </si>
  <si>
    <t>L036</t>
  </si>
  <si>
    <t>GASTROPIONIER</t>
  </si>
  <si>
    <t>F035</t>
  </si>
  <si>
    <t>Bei „bg“ vollständige Firmierung, Ort und Kontaktdaten erfragen.</t>
  </si>
  <si>
    <t>bg</t>
  </si>
  <si>
    <t>Unternehmen nicht eindeutig zugeordnet</t>
  </si>
  <si>
    <t>VERTRIEB · Firmenstammdaten</t>
  </si>
  <si>
    <t>Allgemeine Firmenkontakte und veröffentlichte Kontaktanschriften. Persönliche Ansprechpartner stehen im Blatt Kontakte.</t>
  </si>
  <si>
    <t>Quelle und Abrufdatum stehen je Firma rechts. Abweichungen zur Vorlage sind im Prüfhinweis dokumentiert.</t>
  </si>
  <si>
    <t>„Öffentlich ergänzt“ bezeichnet die Firmenkontaktdaten; es bestätigt keine persönliche Zuständigkeit oder Kaufabsicht.</t>
  </si>
  <si>
    <t>Segment = redaktionelle Einordnung. Kontaktanschriften sind nicht automatisch Liefer- oder Rechnungsadressen.</t>
  </si>
  <si>
    <t>Marke / Kurzname</t>
  </si>
  <si>
    <t>Firmierung / Organisation</t>
  </si>
  <si>
    <t>Segment</t>
  </si>
  <si>
    <t>Land</t>
  </si>
  <si>
    <t>Straße / Standort</t>
  </si>
  <si>
    <t>PLZ</t>
  </si>
  <si>
    <t>Ort / Region</t>
  </si>
  <si>
    <t>Telefon allgemein</t>
  </si>
  <si>
    <t>E-Mail allgemein</t>
  </si>
  <si>
    <t>Website</t>
  </si>
  <si>
    <t>Datenstatus</t>
  </si>
  <si>
    <t>Einordnung / Prüfhinweis</t>
  </si>
  <si>
    <t>Quelle · Hauptnachweis</t>
  </si>
  <si>
    <t>Weitere Quellen</t>
  </si>
  <si>
    <t>Recherche am</t>
  </si>
  <si>
    <t>FFC</t>
  </si>
  <si>
    <t>The Fresh Food Company GmbH &amp; Co. KG</t>
  </si>
  <si>
    <t>Verpackung / Handel</t>
  </si>
  <si>
    <t>Deutschland</t>
  </si>
  <si>
    <t>Rockwinkeler Landstraße 117A</t>
  </si>
  <si>
    <t>28325</t>
  </si>
  <si>
    <t>Bremen</t>
  </si>
  <si>
    <t>+49 421 83947448</t>
  </si>
  <si>
    <t>v.hoepfner@ffc-company.de</t>
  </si>
  <si>
    <t>https://ffc-company.de/</t>
  </si>
  <si>
    <t>Quelle prüfen</t>
  </si>
  <si>
    <t>Quelle: Branchenverzeichnis der WFB Bremen. Eigene Website nicht abrufbar; Anschrift vor Nutzung bestätigen. E-Mail ist der vorhandene persönliche Kontakt, keine allgemeine Zentrale.</t>
  </si>
  <si>
    <t>https://www.wfb-bremen.de/de/branchpdf/nahrungs-und-genussmittel-branchenverzeichnis</t>
  </si>
  <si>
    <t>Sunday Natural</t>
  </si>
  <si>
    <t>Sunday Natural Products GmbH</t>
  </si>
  <si>
    <t>Nahrungsergänzung</t>
  </si>
  <si>
    <t>Potsdamer Straße 83</t>
  </si>
  <si>
    <t>10785</t>
  </si>
  <si>
    <t>Berlin</t>
  </si>
  <si>
    <t>service@sunday.de</t>
  </si>
  <si>
    <t>https://www.sunday.de/</t>
  </si>
  <si>
    <t>Öffentlich ergänzt</t>
  </si>
  <si>
    <t>Sunday bietet laut Hilfezentrum keinen telefonischen Kundenservice. Die im Impressum genannte Nummer ist ein Fax und wurde nicht als Telefon übernommen.</t>
  </si>
  <si>
    <t>https://www.sunday.de/impressum/</t>
  </si>
  <si>
    <t>https://www.sunday.de/en/privacy-policy/
https://support.sunday.de/hc/de/articles/4414909474194-Kann-ich-Sie-telefonisch-erreichen</t>
  </si>
  <si>
    <t>Göttinger</t>
  </si>
  <si>
    <t>Göttinger GmbH Dessertmanufaktur</t>
  </si>
  <si>
    <t>Dessert / Eis</t>
  </si>
  <si>
    <t>Österreich</t>
  </si>
  <si>
    <t>Schwabengasse 9</t>
  </si>
  <si>
    <t>3812</t>
  </si>
  <si>
    <t>Groß-Siegharts</t>
  </si>
  <si>
    <t>+43 2847 2318</t>
  </si>
  <si>
    <t>office@goettinger.com</t>
  </si>
  <si>
    <t>https://www.goettinger.com/</t>
  </si>
  <si>
    <t>Land ergänzt; Straßenangabe laut Website Schwabengasse 9. Vorlage: „Schwabengasse 9 A“.</t>
  </si>
  <si>
    <t>SETU Arena</t>
  </si>
  <si>
    <t>Sport / Veranstaltung</t>
  </si>
  <si>
    <t>Irland</t>
  </si>
  <si>
    <t>West Campus, Carriganore</t>
  </si>
  <si>
    <t>X91 XD96</t>
  </si>
  <si>
    <t>Waterford</t>
  </si>
  <si>
    <t>+353 51 834444</t>
  </si>
  <si>
    <t>setuarena.wd@setu.ie</t>
  </si>
  <si>
    <t>https://setuarena.ie/</t>
  </si>
  <si>
    <t>Rechtsträger klären</t>
  </si>
  <si>
    <t>Veröffentlichter Kontakt zur Arena. Vertragliche Rechtsträgerbezeichnung bei Bedarf bestätigen.</t>
  </si>
  <si>
    <t>https://setuarena.ie/contact-us/</t>
  </si>
  <si>
    <t>Festag / ELCO</t>
  </si>
  <si>
    <t>Elco AG</t>
  </si>
  <si>
    <t>Schweiz</t>
  </si>
  <si>
    <t>Wildischachen</t>
  </si>
  <si>
    <t>5201</t>
  </si>
  <si>
    <t>Brugg</t>
  </si>
  <si>
    <t>+41 56 4628000</t>
  </si>
  <si>
    <t>business@elcoworld.ch</t>
  </si>
  <si>
    <t>https://www.elcoworld.ch/</t>
  </si>
  <si>
    <t>Integration prüfen</t>
  </si>
  <si>
    <t>ELCO-Mitteilung: Festag AG seit 01.07.2024 in Elco AG integriert. Aktuelle ELCO-Anschrift und Zentrale ergänzt; Zuständigkeit von Uwe Sahmer und bisherige @festag.ch-Adresse bestätigen.</t>
  </si>
  <si>
    <t>https://www.elcoworld.ch/de/news/festag-ag-elco-ag-integriert.html</t>
  </si>
  <si>
    <t>https://www.elcoworld.ch/de/footer-navigation/impressum.html</t>
  </si>
  <si>
    <t>Florida-Eis</t>
  </si>
  <si>
    <t>Florida-Eis Manufaktur GmbH</t>
  </si>
  <si>
    <t>Am Zeppelinpark 53</t>
  </si>
  <si>
    <t>13591</t>
  </si>
  <si>
    <t>+49 30 36403550</t>
  </si>
  <si>
    <t>kontakt@floridaeis.de</t>
  </si>
  <si>
    <t>https://floridaeis.de/</t>
  </si>
  <si>
    <t>Allgemeine Firmenkontaktdaten aus der angegebenen öffentlichen Quelle; persönliche Kontaktdaten siehe Kontakte.</t>
  </si>
  <si>
    <t>https://floridaeis.de/impressum/</t>
  </si>
  <si>
    <t>Blackpool Pleasure Beach</t>
  </si>
  <si>
    <t>Blackpool Pleasure Beach Limited</t>
  </si>
  <si>
    <t>Freizeitpark</t>
  </si>
  <si>
    <t>Vereinigtes Königreich</t>
  </si>
  <si>
    <t>525 Ocean Boulevard, Promenade</t>
  </si>
  <si>
    <t>FY4 1EZ</t>
  </si>
  <si>
    <t>Blackpool</t>
  </si>
  <si>
    <t>+44 333 0032212</t>
  </si>
  <si>
    <t>info@bpbltd.com</t>
  </si>
  <si>
    <t>https://www.blackpoolpleasurebeach.com/</t>
  </si>
  <si>
    <t>Nummer des Kundenservice. Für den Einkauf vorrangig vorhandenen Ansprechpartner nutzen.</t>
  </si>
  <si>
    <t>https://www.blackpoolpleasurebeach.com/contact-us/</t>
  </si>
  <si>
    <t>https://www.blackpoolpleasurebeach.com/cookie-policy/</t>
  </si>
  <si>
    <t>CAMONSITE</t>
  </si>
  <si>
    <t>CAMONSITE Conference and more GmbH</t>
  </si>
  <si>
    <t>Event / Catering</t>
  </si>
  <si>
    <t>Bergstraße 80</t>
  </si>
  <si>
    <t>10115</t>
  </si>
  <si>
    <t>+49 30 644997920</t>
  </si>
  <si>
    <t>mail@camonsite.de</t>
  </si>
  <si>
    <t>https://www.camonsite.de/</t>
  </si>
  <si>
    <t>Chance bezieht sich auf Festival Juni 2026; Veranstaltung liegt vor dem Recherchestand. Ergebnis und mögliche Folgeprojekte klären.</t>
  </si>
  <si>
    <t>https://www.camonsite.de/de/impressum</t>
  </si>
  <si>
    <t>Akzente Catering</t>
  </si>
  <si>
    <t>Akzente Catering Offenburg GmbH</t>
  </si>
  <si>
    <t>Catering</t>
  </si>
  <si>
    <t>Schutterwälder Straße 3</t>
  </si>
  <si>
    <t>77656</t>
  </si>
  <si>
    <t>Offenburg</t>
  </si>
  <si>
    <t>+49 781 9226300</t>
  </si>
  <si>
    <t>info@akzente-catering.de</t>
  </si>
  <si>
    <t>https://www.akzente-catering.de/</t>
  </si>
  <si>
    <t>Kontakt prüfen</t>
  </si>
  <si>
    <t>Persönliche E-Mail in Vorlage enthält „akzente-cateting.de“. Nicht als gesichert übernehmen; allgemeiner Kontakt und Rolle von Hervé Grosjean öffentlich bestätigt.</t>
  </si>
  <si>
    <t>https://www.akzente-catering.de/de/ansprechpartner</t>
  </si>
  <si>
    <t>NAWA</t>
  </si>
  <si>
    <t>NAWA HEILMITTEL GmbH</t>
  </si>
  <si>
    <t>Gesundheit / Pharma</t>
  </si>
  <si>
    <t>Ostendstraße 100</t>
  </si>
  <si>
    <t>90482</t>
  </si>
  <si>
    <t>Nürnberg</t>
  </si>
  <si>
    <t>+49 911 544410</t>
  </si>
  <si>
    <t>info@nawa.com</t>
  </si>
  <si>
    <t>https://nawa.com/</t>
  </si>
  <si>
    <t>https://nawa.com/en/legal/</t>
  </si>
  <si>
    <t>PortAventura World</t>
  </si>
  <si>
    <t>PortAventura Entertainment S.A.U.</t>
  </si>
  <si>
    <t>Spanien</t>
  </si>
  <si>
    <t>Avda. Alcalde Pere Molas, km 2</t>
  </si>
  <si>
    <t>43480</t>
  </si>
  <si>
    <t>Vila-seca (Tarragona)</t>
  </si>
  <si>
    <t>+34 977 779000</t>
  </si>
  <si>
    <t>portaventura@portaventura.es</t>
  </si>
  <si>
    <t>https://www.portaventuraworld.com/</t>
  </si>
  <si>
    <t>Firmierung, Straße und PLZ/Ort anhand der offiziellen Bedingungen normalisiert.</t>
  </si>
  <si>
    <t>https://www.portaventuraworld.com/en/condiciones-generales</t>
  </si>
  <si>
    <t>Sustainium</t>
  </si>
  <si>
    <t>Sustainium AB</t>
  </si>
  <si>
    <t>Nachhaltige Produkte / Handel</t>
  </si>
  <si>
    <t>Schweden</t>
  </si>
  <si>
    <t>Norrsken House, Birger Jarlsgatan 57C</t>
  </si>
  <si>
    <t>113 56</t>
  </si>
  <si>
    <t>Stockholm</t>
  </si>
  <si>
    <t>+46 10 8086111</t>
  </si>
  <si>
    <t>https://www.sustainium.se/</t>
  </si>
  <si>
    <t>Zuordnung prüfen</t>
  </si>
  <si>
    <t>Öffentliche Büroadresse in Norrsken House; Vorlage nennt C/O Madani, Franzéngatan 16. Firmierung aus Vorlage; Registeranschrift und Zuordnung der @cupthemarket.com-Adresse bestätigen. Keine allgemeine E-Mail veröffentlicht.</t>
  </si>
  <si>
    <t>https://www.sustainium.se/contact</t>
  </si>
  <si>
    <t>Wonderwood</t>
  </si>
  <si>
    <t>Caica Srl</t>
  </si>
  <si>
    <t>Italien</t>
  </si>
  <si>
    <t>Via per Cannero 2</t>
  </si>
  <si>
    <t>28826</t>
  </si>
  <si>
    <t>Trarego Viggiona (VB)</t>
  </si>
  <si>
    <t>+39 334 7978094</t>
  </si>
  <si>
    <t>info@wonderwood.it</t>
  </si>
  <si>
    <t>https://wonderwood.it/</t>
  </si>
  <si>
    <t>Betreiber Caica Srl und Kontaktanschrift laut Website. Parkadresse aus Vorlage: SP 92 Via per Colle, Località Monte Carza. Allgemeine E-Mail gilt für alle drei Kontakte; keine persönlichen E-Mails belegt.</t>
  </si>
  <si>
    <t>https://wonderwood.it/contatti/</t>
  </si>
  <si>
    <t>Skånes Djurpark</t>
  </si>
  <si>
    <t>Skånes Djurpark Resort AB</t>
  </si>
  <si>
    <t>Jularp 150</t>
  </si>
  <si>
    <t>243 93</t>
  </si>
  <si>
    <t>Höör</t>
  </si>
  <si>
    <t>+46 413 553060</t>
  </si>
  <si>
    <t>info@skanesdjurpark.se</t>
  </si>
  <si>
    <t>https://www.skanesdjurpark.se/</t>
  </si>
  <si>
    <t>https://www.skanesdjurpark.se/kontakta-oss</t>
  </si>
  <si>
    <t>Unique Party UK</t>
  </si>
  <si>
    <t>Unique UK Inc. (Unique Party)</t>
  </si>
  <si>
    <t>Partyartikel / Handel</t>
  </si>
  <si>
    <t>Medford House, East Common Lane</t>
  </si>
  <si>
    <t>DN16 1DE</t>
  </si>
  <si>
    <t>Scunthorpe, North Lincolnshire</t>
  </si>
  <si>
    <t>+44 800 0524977</t>
  </si>
  <si>
    <t>https://favors.com/uk/</t>
  </si>
  <si>
    <t>Teilweise ergänzt</t>
  </si>
  <si>
    <t>Unique UK Inc., tätig als Unique Party. Telefonnummer: britische Freephone-Nummer. Allgemeine E-Mail nicht sicher aus der Quelle lesbar.</t>
  </si>
  <si>
    <t>https://favors.com/uk/privacy-policy/</t>
  </si>
  <si>
    <t>DB Gastronomie</t>
  </si>
  <si>
    <t>DB Gastronomie GmbH</t>
  </si>
  <si>
    <t>Betriebsgastronomie</t>
  </si>
  <si>
    <t>Kleyerstraße 21</t>
  </si>
  <si>
    <t>60326</t>
  </si>
  <si>
    <t>Frankfurt am Main</t>
  </si>
  <si>
    <t>https://order-casino.app.db.de/</t>
  </si>
  <si>
    <t>Aktualität prüfen</t>
  </si>
  <si>
    <t>Anschrift aus Vorlage, zusätzlich in älterem DB-Casino-Impressum auf devdns.de genannt. Aktueller offizieller Impressumsabruf fehlgeschlagen. Allgemeine Telefon-/E-Mail-Daten daher offen; vorhandenen persönlichen Kontakt verwenden.</t>
  </si>
  <si>
    <t>https://order-casino.app.db.de/impressum</t>
  </si>
  <si>
    <t>https://devdns.de/dbcasinocsv/imprint.html</t>
  </si>
  <si>
    <t>Uber Eats</t>
  </si>
  <si>
    <t>Uber Eats NL B.V.</t>
  </si>
  <si>
    <t>Lieferplattform</t>
  </si>
  <si>
    <t>Niederlande</t>
  </si>
  <si>
    <t>Burgerweeshuispad 301</t>
  </si>
  <si>
    <t>1076 HR</t>
  </si>
  <si>
    <t>Amsterdam</t>
  </si>
  <si>
    <t>+31 800 0200984</t>
  </si>
  <si>
    <t>customer.inquiries@uber.com</t>
  </si>
  <si>
    <t>https://www.uber.com/</t>
  </si>
  <si>
    <t>Veröffentlichtes Kontaktfeld für Kundenanfragen; keine bestätigte Einkaufsadresse. Namensabweichung Aliza/Alisa in Vorlage prüfen.</t>
  </si>
  <si>
    <t>https://www.uber.com/nl/nl/legal/uber-contact-information/</t>
  </si>
  <si>
    <t>Bluestone</t>
  </si>
  <si>
    <t>Bluestone Resorts Ltd</t>
  </si>
  <si>
    <t>Ferienresort</t>
  </si>
  <si>
    <t>Canaston Wood</t>
  </si>
  <si>
    <t>SA67 8DE</t>
  </si>
  <si>
    <t>Narberth, Pembrokeshire</t>
  </si>
  <si>
    <t>+44 1834 862400</t>
  </si>
  <si>
    <t>reservations@bluestonewales.com</t>
  </si>
  <si>
    <t>https://www.bluestonewales.com/</t>
  </si>
  <si>
    <t>Reservierungs-/Gästekontakt. Für geschäftliche Ansprache vorhandenen Kontakt Marten Lewis verwenden. Veröffentlichte Resortanschrift, kein gesonderter Registerabgleich.</t>
  </si>
  <si>
    <t>https://www.bluestonewales.com/contact-us</t>
  </si>
  <si>
    <t>Gelamor</t>
  </si>
  <si>
    <t>Gelamor GmbH</t>
  </si>
  <si>
    <t>Eisbedarf / Handel</t>
  </si>
  <si>
    <t>Hansestraße 7</t>
  </si>
  <si>
    <t>59590</t>
  </si>
  <si>
    <t>Geseke</t>
  </si>
  <si>
    <t>+49 2942 978660</t>
  </si>
  <si>
    <t>info@gelamor.com</t>
  </si>
  <si>
    <t>https://www.gelamor.de/</t>
  </si>
  <si>
    <t>https://www.gelamor.shop/Service/Impressum/</t>
  </si>
  <si>
    <t>https://www.gelamor.de/impressum</t>
  </si>
  <si>
    <t>Aramark</t>
  </si>
  <si>
    <t>Aramark Holding Deutschland GmbH</t>
  </si>
  <si>
    <t>Amelia-Mary-Earhart-Straße 11</t>
  </si>
  <si>
    <t>60549</t>
  </si>
  <si>
    <t>+49 69 6677920</t>
  </si>
  <si>
    <t>info@aramark.de</t>
  </si>
  <si>
    <t>https://www.aramark.de/</t>
  </si>
  <si>
    <t>https://aramark-ist-spuerbar.movement24.de/impressum/</t>
  </si>
  <si>
    <t>https://www.aramark.de/privacy-policy</t>
  </si>
  <si>
    <t>igefa</t>
  </si>
  <si>
    <t>igefa Handelsgesellschaft mbH &amp; Co. KG</t>
  </si>
  <si>
    <t>Großhandel / Foodservice</t>
  </si>
  <si>
    <t>Henry-Kruse-Straße 1</t>
  </si>
  <si>
    <t>16356</t>
  </si>
  <si>
    <t>Ahrensfelde</t>
  </si>
  <si>
    <t>+49 33394 510</t>
  </si>
  <si>
    <t>info@igefa.de</t>
  </si>
  <si>
    <t>https://www.igefa.de/</t>
  </si>
  <si>
    <t>Mengendopplung prüfen</t>
  </si>
  <si>
    <t>Zwei Chancen (igefa und IKEA europaweit) mit denselben Kontakten. Mengenumfang 10 t / 17 t auf Überschneidung prüfen. IKEA ist hier Zielkunde über igefa, kein separater direkter Firmenkontakt.</t>
  </si>
  <si>
    <t>https://www.igefa.de/standorte/igefa-handelsgesellschaft-mbh-co-kg</t>
  </si>
  <si>
    <t>Ragaller</t>
  </si>
  <si>
    <t>Ragaller GmbH &amp; Co. Betriebs KG</t>
  </si>
  <si>
    <t>Einsteinring 26</t>
  </si>
  <si>
    <t>85609</t>
  </si>
  <si>
    <t>Aschheim</t>
  </si>
  <si>
    <t>+49 89 451250</t>
  </si>
  <si>
    <t>info@ragaller.com</t>
  </si>
  <si>
    <t>https://www.ragaller.com/</t>
  </si>
  <si>
    <t>Kontakt offen</t>
  </si>
  <si>
    <t>Firmendaten ergänzt; persönliche Einkaufszuständigkeit fehlt. Produktkürzel „ice s“ aus Vorlage nicht eindeutig.</t>
  </si>
  <si>
    <t>https://www.ragaller.com/de/legal/impressum/</t>
  </si>
  <si>
    <t>Sier Disposables B.V.</t>
  </si>
  <si>
    <t>Da Vincilaan 49</t>
  </si>
  <si>
    <t>6716 WC</t>
  </si>
  <si>
    <t>Ede</t>
  </si>
  <si>
    <t>+31 318 711048</t>
  </si>
  <si>
    <t>info@sierdisposables.nl</t>
  </si>
  <si>
    <t>https://www.sierdisposables.nl/</t>
  </si>
  <si>
    <t>Telefonzuordnung prüfen</t>
  </si>
  <si>
    <t>PLZ und Ort aus Vorlage getrennt und bestätigt: 6716 WC / Ede. Vorhandene Mobilnummer +31 6 1111 6849 keinem der zwei Ansprechpartner sicher zuordenbar.</t>
  </si>
  <si>
    <t>https://www.sierdisposables.nl/de/contact</t>
  </si>
  <si>
    <t>Nette</t>
  </si>
  <si>
    <t>Nette GmbH</t>
  </si>
  <si>
    <t>Elliehäuser Weg 7–11</t>
  </si>
  <si>
    <t>37079</t>
  </si>
  <si>
    <t>Göttingen</t>
  </si>
  <si>
    <t>+49 551 69470</t>
  </si>
  <si>
    <t>goettingen@nette-deutschland.de</t>
  </si>
  <si>
    <t>https://nette-deutschland.de/</t>
  </si>
  <si>
    <t>https://nette-deutschland.de/impressum/</t>
  </si>
  <si>
    <t>Klarsichtpackung GmbH</t>
  </si>
  <si>
    <t>Hattersheimer Straße 46</t>
  </si>
  <si>
    <t>65719</t>
  </si>
  <si>
    <t>Hofheim am Taunus</t>
  </si>
  <si>
    <t>+49 6192 99020</t>
  </si>
  <si>
    <t>info@klarpac.de</t>
  </si>
  <si>
    <t>https://www.klarpac.de/</t>
  </si>
  <si>
    <t>Hinweis aus Vorlage: verschiedene Längen interessant. Henning Holtz als Einkäufer aus Zellnotiz übernommen; dortige E-Mail war ausdrücklich nur vermutet.</t>
  </si>
  <si>
    <t>https://www.klarpac.de/de/impressum</t>
  </si>
  <si>
    <t>Tulip Disposables</t>
  </si>
  <si>
    <t>Prins Albertlaan 11</t>
  </si>
  <si>
    <t>2271 EK</t>
  </si>
  <si>
    <t>Voorburg</t>
  </si>
  <si>
    <t>service@tulipdisposables.com</t>
  </si>
  <si>
    <t>https://www.tulipdisposables.com/</t>
  </si>
  <si>
    <t>PLZ und Ort korrigiert: 2271 EK / Voorburg. Kein Telefon auf recherchierter Kontaktseite gefunden; konkrete Rechtsträgerbezeichnung vor Vertragsanlage klären.</t>
  </si>
  <si>
    <t>https://www.tulipdisposables.com/contact/</t>
  </si>
  <si>
    <t>Gelato49</t>
  </si>
  <si>
    <t>Gelato49 GmbH</t>
  </si>
  <si>
    <t>Heerdterbuschstraße 10</t>
  </si>
  <si>
    <t>41460</t>
  </si>
  <si>
    <t>Neuss</t>
  </si>
  <si>
    <t>+49 2131 2032636</t>
  </si>
  <si>
    <t>info@gelato49.com</t>
  </si>
  <si>
    <t>https://gelato49.com/</t>
  </si>
  <si>
    <t>https://gelato49.com/impressum/</t>
  </si>
  <si>
    <t>Greenbox / Bionatic</t>
  </si>
  <si>
    <t>Bionatic GmbH &amp; Co. KG</t>
  </si>
  <si>
    <t>Schwachhauser Heerstraße 266b</t>
  </si>
  <si>
    <t>28359</t>
  </si>
  <si>
    <t>+49 421 24687870</t>
  </si>
  <si>
    <t>https://bionatic.com/</t>
  </si>
  <si>
    <t>Lothar Matthies ist mit externer E-Mail in der Vorlage genannt; Beschäftigung bei Bionatic nicht belegt. Allgemeine E-Mail nicht sicher extrahierbar.</t>
  </si>
  <si>
    <t>https://bionatic.com/en/impressum/</t>
  </si>
  <si>
    <t>BUNZL</t>
  </si>
  <si>
    <t>BUNZL Großhandel GmbH</t>
  </si>
  <si>
    <t>Elbestraße 1–3</t>
  </si>
  <si>
    <t>45768</t>
  </si>
  <si>
    <t>Marl</t>
  </si>
  <si>
    <t>+49 2365 95385</t>
  </si>
  <si>
    <t>info@bunzl.de</t>
  </si>
  <si>
    <t>https://bunzl-grosshandel.de/</t>
  </si>
  <si>
    <t>Schreibweise des Namens „Motokallemi Roozbeh“ weicht von E-Mail „roozbeh.motekallemi“ ab; bestätigen.</t>
  </si>
  <si>
    <t>https://bunzl-grosshandel.de/kontakt/</t>
  </si>
  <si>
    <t>Duni</t>
  </si>
  <si>
    <t>Duni GmbH</t>
  </si>
  <si>
    <t>Tableware / Handel</t>
  </si>
  <si>
    <t>Robert-Bosch-Straße 4</t>
  </si>
  <si>
    <t>49565</t>
  </si>
  <si>
    <t>Bramsche</t>
  </si>
  <si>
    <t>+49 5461 820</t>
  </si>
  <si>
    <t>service@duni.de</t>
  </si>
  <si>
    <t>https://de.duni.com/</t>
  </si>
  <si>
    <t>Schreibweise „Marie Davis“ weicht von „Marie.Davies“ in der E-Mail ab; bestätigen. Zentrale und allgemeine E-Mail beziehen sich auf Deutschland.</t>
  </si>
  <si>
    <t>https://de.duni.com/de/contact</t>
  </si>
  <si>
    <t>EDEKA Zentralhandelsgesellschaft mbH</t>
  </si>
  <si>
    <t>Lebensmittelhandel</t>
  </si>
  <si>
    <t>New-York-Ring 6</t>
  </si>
  <si>
    <t>22297</t>
  </si>
  <si>
    <t>Hamburg</t>
  </si>
  <si>
    <t>+49 40 63770</t>
  </si>
  <si>
    <t>info@edeka.de</t>
  </si>
  <si>
    <t>https://verbund.edeka/</t>
  </si>
  <si>
    <t>Firmierung aus Vorlage beibehalten. Öffentliche Quelle gehört zu EDEKA ZENTRALE Stiftung &amp; Co. KG; Telefon/E-Mail sind Gruppenzentrale. Vertragspartner ist vor Stammdatenfreigabe zu bestätigen.</t>
  </si>
  <si>
    <t>https://brandhub.edeka.de/imprint</t>
  </si>
  <si>
    <t>Niemerszein &amp; Co. KG (GmbH &amp; Co.)</t>
  </si>
  <si>
    <t>Gasstraße 6B, Kontor N</t>
  </si>
  <si>
    <t>22761</t>
  </si>
  <si>
    <t>+49 40 8532170</t>
  </si>
  <si>
    <t>info@niemerszein.de</t>
  </si>
  <si>
    <t>https://www.niemerszein.de/</t>
  </si>
  <si>
    <t>Frank Ebrecht im aktuellen Impressum als Geschäftsführer bestätigt.</t>
  </si>
  <si>
    <t>https://www.niemerszein.de/impressum/</t>
  </si>
  <si>
    <t>Magnum ICC Germany GmbH</t>
  </si>
  <si>
    <t>Neue Burg 1</t>
  </si>
  <si>
    <t>20457</t>
  </si>
  <si>
    <t>+49 40 696392000</t>
  </si>
  <si>
    <t>Unilever.Service@unilever.com</t>
  </si>
  <si>
    <t>https://corporate.magnumicecream.com/</t>
  </si>
  <si>
    <t>Firmierung geändert</t>
  </si>
  <si>
    <t>Aktuelles Impressum nennt „Magnum ICC Germany GmbH“ statt der längeren Bezeichnung aus der Vorlage. Dort wird weiterhin Unilever.Service@unilever.com veröffentlicht; persönliche Magnum-Adresse aus Vorlage bevorzugen.</t>
  </si>
  <si>
    <t>https://corporate.magnumicecream.com/en/notices/imprint/germany.html</t>
  </si>
  <si>
    <t>Landeshauptstadt Kiel – Referat Kieler Woche</t>
  </si>
  <si>
    <t>Öffentliche Veranstaltung</t>
  </si>
  <si>
    <t>Fleethörn 9 (Rathaus)</t>
  </si>
  <si>
    <t>24103</t>
  </si>
  <si>
    <t>Kiel</t>
  </si>
  <si>
    <t>+49 431 901905</t>
  </si>
  <si>
    <t>kieler-woche@kiel.de</t>
  </si>
  <si>
    <t>https://www.kieler-woche.de/</t>
  </si>
  <si>
    <t>Offizielles Referat ergänzt. Einkaufszuständigkeit für Besteck und konkretes Eventjahr noch zu klären; keine benannte Kontaktperson in der Vorlage.</t>
  </si>
  <si>
    <t>https://www.kiel.de/de/politik_verwaltung/service/_organisationseinheit.php?id=9030133</t>
  </si>
  <si>
    <t>Nicht zugeordnet</t>
  </si>
  <si>
    <t>„GASTROPIONIER / Andy Weigel“ konnte keiner offiziellen Unternehmensquelle eindeutig zugeordnet werden. Firmierung, Ort und Kontakt beim internen Hinweisgeber „bg“ erfragen. Keine ähnlichen Namen ungeprüft übernommen.</t>
  </si>
  <si>
    <t>VERTRIEB · Ansprechpartner</t>
  </si>
  <si>
    <t>Eine Person je Zeile. Persönliche Angaben stammen aus der Vorlage, soweit keine öffentliche Bestätigung ausdrücklich genannt ist.</t>
  </si>
  <si>
    <t>Unklare oder vermutete E-Mail-Adressen stehen nur in der Prüfnotiz. Allgemeine Kontaktadressen stehen im Firmenblatt.</t>
  </si>
  <si>
    <t>Vor der Ansprache Prüfstatus beachten. Bei mehreren Chancen derselben Firma wird derselbe Kontakt nur einmal geführt.</t>
  </si>
  <si>
    <t>Fehlende Durchwahl, Mobilnummer oder Funktion = nicht vorhanden oder öffentlich nicht sicher belegt.</t>
  </si>
  <si>
    <t>Kontakt-ID</t>
  </si>
  <si>
    <t>Firmenbezug</t>
  </si>
  <si>
    <t>Name</t>
  </si>
  <si>
    <t>Funktion</t>
  </si>
  <si>
    <t>Persönliche E-Mail</t>
  </si>
  <si>
    <t>Durchwahl</t>
  </si>
  <si>
    <t>Mobil</t>
  </si>
  <si>
    <t>Lead-Bezug</t>
  </si>
  <si>
    <t>Prüfstatus</t>
  </si>
  <si>
    <t>Kontakt- / Prüfnotiz</t>
  </si>
  <si>
    <t>Herkunft / Nachweis</t>
  </si>
  <si>
    <t>K001</t>
  </si>
  <si>
    <t>Volker Höpfner</t>
  </si>
  <si>
    <t>Vorlage / unbestätigt</t>
  </si>
  <si>
    <t>Persönliche Angaben aus der Vorlage; nicht unabhängig verifiziert.</t>
  </si>
  <si>
    <t>Original!G3:I3</t>
  </si>
  <si>
    <t>K002</t>
  </si>
  <si>
    <t>Kyra Sharma</t>
  </si>
  <si>
    <t>kyra.sharma@sunday.de</t>
  </si>
  <si>
    <t>Original!G4:I4</t>
  </si>
  <si>
    <t>K003</t>
  </si>
  <si>
    <t>Thomas Göttinger</t>
  </si>
  <si>
    <t>thomas@goettinger.com</t>
  </si>
  <si>
    <t>Original!G5:I5</t>
  </si>
  <si>
    <t>K004</t>
  </si>
  <si>
    <t>Paul Morrissey</t>
  </si>
  <si>
    <t>paul.s.morrissey@setu.ie</t>
  </si>
  <si>
    <t>Original!G6:I6</t>
  </si>
  <si>
    <t>K005</t>
  </si>
  <si>
    <t>Uwe Sahmer</t>
  </si>
  <si>
    <t>uwe.sahmer@festag.ch</t>
  </si>
  <si>
    <t>Persönliche Angaben aus der Vorlage; nicht unabhängig verifiziert. Nach Integration in ELCO aktuelle Zuständigkeit und E-Mail bestätigen.</t>
  </si>
  <si>
    <t>Original!G7:I7</t>
  </si>
  <si>
    <t>K006</t>
  </si>
  <si>
    <t>Henrike Schulz</t>
  </si>
  <si>
    <t>henrike.schulz@floridaeis.de</t>
  </si>
  <si>
    <t>Original!G8:I8</t>
  </si>
  <si>
    <t>K007</t>
  </si>
  <si>
    <t>Andy Hygate</t>
  </si>
  <si>
    <t>andy.hygate@bpbltd.com</t>
  </si>
  <si>
    <t>Original!G9:I9</t>
  </si>
  <si>
    <t>K008</t>
  </si>
  <si>
    <t>Anastasija Bauer</t>
  </si>
  <si>
    <t>bauer.anastasija@camonsite.de</t>
  </si>
  <si>
    <t>Original!G10:I10</t>
  </si>
  <si>
    <t>K009</t>
  </si>
  <si>
    <t>Marvin Lange</t>
  </si>
  <si>
    <t>lange.marvin@camonsite.de</t>
  </si>
  <si>
    <t>K010</t>
  </si>
  <si>
    <t>Hervé Grosjean</t>
  </si>
  <si>
    <t>Leitung Catering Unit</t>
  </si>
  <si>
    <t>E-Mail prüfen</t>
  </si>
  <si>
    <t>Nicht freigegebene E-Mail aus Vorlage: herve.grosjean@akzente-cateting.de. Domain weicht von offizieller Domain ab. Öffentlich steht info@akzente-catering.de beim Ansprechpartner. Persönliche Adresse bestätigen.</t>
  </si>
  <si>
    <t>Original!G11:I11; https://www.akzente-catering.de/de/ansprechpartner</t>
  </si>
  <si>
    <t>K011</t>
  </si>
  <si>
    <t>Tobias Riesinger</t>
  </si>
  <si>
    <t>tobias.riesinger@nawa.com</t>
  </si>
  <si>
    <t>Original!G12:I12</t>
  </si>
  <si>
    <t>K012</t>
  </si>
  <si>
    <t>Choni Fernandez</t>
  </si>
  <si>
    <t>choni.fernandez@portaventura.es</t>
  </si>
  <si>
    <t>Original!G13:I13</t>
  </si>
  <si>
    <t>K013</t>
  </si>
  <si>
    <t>Esther Aparicio</t>
  </si>
  <si>
    <t>esther.aparicio@portaventura.es</t>
  </si>
  <si>
    <t>K014</t>
  </si>
  <si>
    <t>Vanessa Rodriguez</t>
  </si>
  <si>
    <t>vanessa.rodriguez@portaventura.es</t>
  </si>
  <si>
    <t>K015</t>
  </si>
  <si>
    <t>Francois de Vinols</t>
  </si>
  <si>
    <t>francois@cupthemarket.com</t>
  </si>
  <si>
    <t>Persönliche Angaben aus der Vorlage; nicht unabhängig verifiziert. Beziehung zur Domain cupthemarket.com bzw. aktuelle Firmenzuordnung bestätigen.</t>
  </si>
  <si>
    <t>Original!G14:I14</t>
  </si>
  <si>
    <t>K016</t>
  </si>
  <si>
    <t>Koorosh Madani</t>
  </si>
  <si>
    <t>K017</t>
  </si>
  <si>
    <t>Massimiliano Freddi</t>
  </si>
  <si>
    <t>Drei Personen in Vorlage; gemeinsame E-Mail info@wonderwood.it steht im Firmenblatt, keine persönliche E-Mail belegt.</t>
  </si>
  <si>
    <t>Original!G15:I15</t>
  </si>
  <si>
    <t>K018</t>
  </si>
  <si>
    <t>Cristina Cornioli</t>
  </si>
  <si>
    <t>K019</t>
  </si>
  <si>
    <t>Lucio Tamburini</t>
  </si>
  <si>
    <t>K020</t>
  </si>
  <si>
    <t>Leo Strandh</t>
  </si>
  <si>
    <t>leo.strandh@skanesdjurpark.se</t>
  </si>
  <si>
    <t>Original!G16:I16</t>
  </si>
  <si>
    <t>K021</t>
  </si>
  <si>
    <t>Laura Rushton</t>
  </si>
  <si>
    <t>lrushton@favors.com</t>
  </si>
  <si>
    <t>Original!G17:I17</t>
  </si>
  <si>
    <t>K022</t>
  </si>
  <si>
    <t>Alexander Büchner</t>
  </si>
  <si>
    <t>Alexander.A.Buechner@deutschebahn.com</t>
  </si>
  <si>
    <t>Original!G18:I18</t>
  </si>
  <si>
    <t>K023</t>
  </si>
  <si>
    <t>Andreas Engstrom Di Fine</t>
  </si>
  <si>
    <t>andreasdifine@uber.com</t>
  </si>
  <si>
    <t>Original!G19:I19</t>
  </si>
  <si>
    <t>K024</t>
  </si>
  <si>
    <t>Laura Leegood</t>
  </si>
  <si>
    <t>Laural@uber.com</t>
  </si>
  <si>
    <t>K025</t>
  </si>
  <si>
    <t>Aliza Tizik</t>
  </si>
  <si>
    <t>alisa.tizik@uber.com</t>
  </si>
  <si>
    <t>Schreibweise prüfen</t>
  </si>
  <si>
    <t>Persönliche Angaben aus der Vorlage; nicht unabhängig verifiziert. Vorname laut Vorlage Aliza, E-Mail alisa.tizik; Schreibweise bestätigen.</t>
  </si>
  <si>
    <t>K026</t>
  </si>
  <si>
    <t>Karolina Vass</t>
  </si>
  <si>
    <t>karolina.vass@uber.com</t>
  </si>
  <si>
    <t>K027</t>
  </si>
  <si>
    <t>Marten Lewis</t>
  </si>
  <si>
    <t>mlewis@bluestonewales.com</t>
  </si>
  <si>
    <t>Original!G20:I20</t>
  </si>
  <si>
    <t>K028</t>
  </si>
  <si>
    <t>Patrik Falkenhahn</t>
  </si>
  <si>
    <t>p.falkenhahn@gelamor.com</t>
  </si>
  <si>
    <t>Original!G21:I21</t>
  </si>
  <si>
    <t>K029</t>
  </si>
  <si>
    <t>Isabelle Amershi</t>
  </si>
  <si>
    <t>amershi-isabelle@aramark.de</t>
  </si>
  <si>
    <t>Original!G22:I22</t>
  </si>
  <si>
    <t>K030</t>
  </si>
  <si>
    <t>Stephanie Fuesgen</t>
  </si>
  <si>
    <t>Stephanie.Fuesgen@igefa.de</t>
  </si>
  <si>
    <t>L021 / L031</t>
  </si>
  <si>
    <t>Original!G23:I23</t>
  </si>
  <si>
    <t>K031</t>
  </si>
  <si>
    <t>Ibrahim Chalabi</t>
  </si>
  <si>
    <t>ibrahim.chalabi@igefa.de</t>
  </si>
  <si>
    <t>K032</t>
  </si>
  <si>
    <t>Erwin Verbeek</t>
  </si>
  <si>
    <t>everbeek@sierdisposables.nl</t>
  </si>
  <si>
    <t>Mobilnummer der Ausgangszeile: +31 6 1111 6849; Zuordnung zu Erwin Verbeek oder Martin van Gurp offen. Zentrale im Firmenblatt.</t>
  </si>
  <si>
    <t>Original!G25:I25</t>
  </si>
  <si>
    <t>K033</t>
  </si>
  <si>
    <t>Martin van Gurp</t>
  </si>
  <si>
    <t>K034</t>
  </si>
  <si>
    <t>Holger Lechte</t>
  </si>
  <si>
    <t>Verkaufsleiter</t>
  </si>
  <si>
    <t>holger.lechte@nette-deutschland.de</t>
  </si>
  <si>
    <t>+49 551 694737</t>
  </si>
  <si>
    <t>+49 176 16947082</t>
  </si>
  <si>
    <t>Original!G26:I26</t>
  </si>
  <si>
    <t>K035</t>
  </si>
  <si>
    <t>Michaela Bolick</t>
  </si>
  <si>
    <t>Account Managerin</t>
  </si>
  <si>
    <t>michaela.bolick@klarpac.de</t>
  </si>
  <si>
    <t>+49 177 5012519</t>
  </si>
  <si>
    <t>Zentrale +49 6192 99020 separat im Firmenblatt. Persönliche E-Mail und Mobilnummer aus Vorlage.</t>
  </si>
  <si>
    <t>Original!G27:I27</t>
  </si>
  <si>
    <t>K036</t>
  </si>
  <si>
    <t>Robert Lehner</t>
  </si>
  <si>
    <t>Geschäftsführer</t>
  </si>
  <si>
    <t>robert.lehner@klarpac.de</t>
  </si>
  <si>
    <t>+49 6192 990216</t>
  </si>
  <si>
    <t>Rolle bestätigt</t>
  </si>
  <si>
    <t>Geschäftsführer öffentlich bestätigt. Direkte Durchwahl aus Original-Zellnotiz; E-Mail aus Vorlage.</t>
  </si>
  <si>
    <t>Original!G27:I27; Original!H27 (Zellnotiz); https://www.klarpac.de/de/impressum</t>
  </si>
  <si>
    <t>K037</t>
  </si>
  <si>
    <t>Henning Holtz</t>
  </si>
  <si>
    <t>Einkäufer (laut Zellnotiz)</t>
  </si>
  <si>
    <t>E-Mail nur vermutet</t>
  </si>
  <si>
    <t>In der Vorlage ausdrücklich nur vermutet: henning.holtz@klarpac.de. Vor Verwendung direkt bestätigen. Keine bestätigte E-Mail im Kontaktfeld.</t>
  </si>
  <si>
    <t>Original!I27 (Zellnotiz von Stefan Hannebauer)</t>
  </si>
  <si>
    <t>K038</t>
  </si>
  <si>
    <t>Arend Köller</t>
  </si>
  <si>
    <t>arend@tulipdisposables.com</t>
  </si>
  <si>
    <t>Original!G28:I28</t>
  </si>
  <si>
    <t>K039</t>
  </si>
  <si>
    <t>Cornelius Seidler</t>
  </si>
  <si>
    <t>c.seidler@gelato49.com</t>
  </si>
  <si>
    <t>Original!G29:I29</t>
  </si>
  <si>
    <t>K040</t>
  </si>
  <si>
    <t>Lothar Matthies</t>
  </si>
  <si>
    <t>info@lothar-matthies.de</t>
  </si>
  <si>
    <t>Persönliche Angaben aus der Vorlage; nicht unabhängig verifiziert. Externe Domain lothar-matthies.de; keine Beschäftigung bei Bionatic unterstellt.</t>
  </si>
  <si>
    <t>Original!G30:I30</t>
  </si>
  <si>
    <t>K041</t>
  </si>
  <si>
    <t>Michael Brink</t>
  </si>
  <si>
    <t>m.brink@bionatic.com</t>
  </si>
  <si>
    <t>K042</t>
  </si>
  <si>
    <t>Frederik Feuerhahn</t>
  </si>
  <si>
    <t>f.feuerhahn@bionatic.com</t>
  </si>
  <si>
    <t>K043</t>
  </si>
  <si>
    <t>Motokallemi Roozbeh</t>
  </si>
  <si>
    <t>roozbeh.motekallemi@bunzl.de</t>
  </si>
  <si>
    <t>Persönliche Angaben aus der Vorlage; nicht unabhängig verifiziert. Name Motokallemi / E-Mail motekallemi; Reihenfolge und Schreibweise bestätigen.</t>
  </si>
  <si>
    <t>Original!G31:I31</t>
  </si>
  <si>
    <t>K044</t>
  </si>
  <si>
    <t>H.G. Wieskus</t>
  </si>
  <si>
    <t>hg.wieskus@bunzl.de</t>
  </si>
  <si>
    <t>K045</t>
  </si>
  <si>
    <t>Sandra von der Ehe</t>
  </si>
  <si>
    <t>sandra.vonderehe@bunzl.de</t>
  </si>
  <si>
    <t>K046</t>
  </si>
  <si>
    <t>Marie Davis</t>
  </si>
  <si>
    <t>Marie.Davies@duni.com</t>
  </si>
  <si>
    <t>Persönliche Angaben aus der Vorlage; nicht unabhängig verifiziert. Name Davis / E-Mail Davies; Schreibweise bestätigen.</t>
  </si>
  <si>
    <t>Original!G32:I32</t>
  </si>
  <si>
    <t>K047</t>
  </si>
  <si>
    <t>Tomasz Doweyko Jurkowski</t>
  </si>
  <si>
    <t>tomasz.doweyko@duni.com</t>
  </si>
  <si>
    <t>K048</t>
  </si>
  <si>
    <t>Birgit Rosenstein</t>
  </si>
  <si>
    <t>birgit.rosenstein@edeka.de</t>
  </si>
  <si>
    <t>+49 40 63773221</t>
  </si>
  <si>
    <t>Original!G34:I34</t>
  </si>
  <si>
    <t>K049</t>
  </si>
  <si>
    <t>Frank Ebrecht</t>
  </si>
  <si>
    <t>f.ebrecht@niemerszein.de</t>
  </si>
  <si>
    <t>+49 40 85321722</t>
  </si>
  <si>
    <t>Geschäftsführer öffentlich bestätigt; Durchwahl und persönliche E-Mail aus Vorlage.</t>
  </si>
  <si>
    <t>Original!G35:I35; https://www.niemerszein.de/impressum/</t>
  </si>
  <si>
    <t>K050</t>
  </si>
  <si>
    <t>Frank Golombek</t>
  </si>
  <si>
    <t>Director Out of Home, GL</t>
  </si>
  <si>
    <t>Frank.Golombek@magnumicecream.com</t>
  </si>
  <si>
    <t>+49 173 6319538</t>
  </si>
  <si>
    <t>Original!G36:I36</t>
  </si>
  <si>
    <t>K051</t>
  </si>
  <si>
    <t>Andy Weigel</t>
  </si>
  <si>
    <t>Identität offen</t>
  </si>
  <si>
    <t>Unternehmen und Person nicht eindeutig öffentlich zugeordnet; Angaben bei „bg“ vervollständigen.</t>
  </si>
  <si>
    <t>Original!G38:I38</t>
  </si>
  <si>
    <t>ORIGINAL · unveränderte Inhalte der hochgeladenen Liste</t>
  </si>
  <si>
    <t>Wann kontaktiert</t>
  </si>
  <si>
    <t>Business Partner</t>
  </si>
  <si>
    <t>Call to action</t>
  </si>
  <si>
    <t>Estimated volume in tons</t>
  </si>
  <si>
    <t>Contact</t>
  </si>
  <si>
    <t>Tel. Nr.</t>
  </si>
  <si>
    <t>E-Mail</t>
  </si>
  <si>
    <t>Street &amp; Number</t>
  </si>
  <si>
    <t>Postal Code</t>
  </si>
  <si>
    <t>City</t>
  </si>
  <si>
    <t>Country</t>
  </si>
  <si>
    <t>Gaiasip?</t>
  </si>
  <si>
    <t>Werte, Schreibweisen, Termine und Mengenschätzungen in ursprünglichen Zellpositionen.</t>
  </si>
  <si>
    <t>FFC - compostable packaging</t>
  </si>
  <si>
    <t>Rockwinkeler Landstrasse 117A</t>
  </si>
  <si>
    <t>Germany</t>
  </si>
  <si>
    <t>Ursprüngliche Zellnotizen H27 / I27 bleiben erhalten; bereinigte Kontakte stehen im Blatt Kontakte.</t>
  </si>
  <si>
    <t>Sunday Natural Products Measuring Spoon</t>
  </si>
  <si>
    <t>Die Ausgangsformel F1 summiert F3:F76. Nach Zeile 38 enthält die Vorlage keine weiteren Leads.</t>
  </si>
  <si>
    <t>Göttinger - Eislöffel und Becher</t>
  </si>
  <si>
    <t>Göttinger GmbH  Dessertmanufaktur</t>
  </si>
  <si>
    <t>Schwabengasse 9 A</t>
  </si>
  <si>
    <t>Groß Siegharts</t>
  </si>
  <si>
    <t>Nur die Darstellung wurde vereinheitlicht. Für die laufende Pflege bitte die drei Arbeitsblätter verwenden.</t>
  </si>
  <si>
    <t>Setu Arena - cutlery</t>
  </si>
  <si>
    <t>Setu Arena</t>
  </si>
  <si>
    <t>West Campus, Carriganore, Co.</t>
  </si>
  <si>
    <t>Festag - cutlery</t>
  </si>
  <si>
    <t>Festag AG</t>
  </si>
  <si>
    <t>Wildschachenstrasse 30</t>
  </si>
  <si>
    <t>5200</t>
  </si>
  <si>
    <t>Brugg AG</t>
  </si>
  <si>
    <t>Schwitzerland</t>
  </si>
  <si>
    <t>Eislöffel_Florida Eismanufaktur</t>
  </si>
  <si>
    <t>Blackpool Pleasure Beach Limited - cutlery</t>
  </si>
  <si>
    <t>Ocean Boulevard, Promenade</t>
  </si>
  <si>
    <t>FY4 1EZ</t>
  </si>
  <si>
    <t>UK</t>
  </si>
  <si>
    <t>Camonsite - Festival Juni 2026</t>
  </si>
  <si>
    <t>Anastasija Bauer, Marvin Lange</t>
  </si>
  <si>
    <t>bauer.anastasija@camonsite.de, lange.marvin@camonsite.de</t>
  </si>
  <si>
    <t>Akzente - Cutlery</t>
  </si>
  <si>
    <t>herve.grosjean@akzente-cateting.de</t>
  </si>
  <si>
    <t>Messlöffel_Nawa</t>
  </si>
  <si>
    <t>Ostendstrasse 100</t>
  </si>
  <si>
    <t>Port Aventura - cutlery</t>
  </si>
  <si>
    <t>Port Aventura Entertainment Sociedad Anonima (SA)</t>
  </si>
  <si>
    <t>Choni Fernandez, Esther Aparicio, Vanessa Rodriguez</t>
  </si>
  <si>
    <t>choni.fernandez@portaventura.es, esther.aparicio@portaventura.es, vanessa.rodriguez@portaventura.es</t>
  </si>
  <si>
    <t>Avinguda Alcalde Pere Molas</t>
  </si>
  <si>
    <t>s/n 43480 Vila-Seca</t>
  </si>
  <si>
    <t>Tarragona</t>
  </si>
  <si>
    <t>Spain</t>
  </si>
  <si>
    <t>Sustainium - cutlery</t>
  </si>
  <si>
    <t>Francois de Vinols, Koorosh Madani</t>
  </si>
  <si>
    <t>C/O Madani, Franzéngatan 16,</t>
  </si>
  <si>
    <t>112 16</t>
  </si>
  <si>
    <t>Sweden</t>
  </si>
  <si>
    <t>Wonderwood - cutlery</t>
  </si>
  <si>
    <t>Wonderwood Parco Avventura</t>
  </si>
  <si>
    <t>Massimiliano Freddi, Cristina Cornioli, Lucio Tamburini</t>
  </si>
  <si>
    <t>info@wonderwood.it, info@wonderwood.it, info@wonderwood.it</t>
  </si>
  <si>
    <t>SP 92 Via per Colle  Località Monte Carza</t>
  </si>
  <si>
    <t>Trarego</t>
  </si>
  <si>
    <t>Skanes - cutlery</t>
  </si>
  <si>
    <t>Unique - cutlery</t>
  </si>
  <si>
    <t>Unique UK</t>
  </si>
  <si>
    <t>Medford House East Common Lane Scunthorpe</t>
  </si>
  <si>
    <t>North Lincolnshire</t>
  </si>
  <si>
    <t>DB Gastro - cutlery</t>
  </si>
  <si>
    <t>DB Gastronomie GmbH</t>
  </si>
  <si>
    <t>Kleyerstraße 21</t>
  </si>
  <si>
    <t>Uber eats - cutlery</t>
  </si>
  <si>
    <t>Andreas Engstrom Di Fine, Laura Leegood, Aliza Tizik, Karolina Vass</t>
  </si>
  <si>
    <t>andreasdifine@uber.com, Laural@uber.com, alisa.tizik@uber.com, karolina.vass@uber.com</t>
  </si>
  <si>
    <t>The Netherlands</t>
  </si>
  <si>
    <t>Bluestone Resorts - cutlery</t>
  </si>
  <si>
    <t>The Grange, Canaston Wood, Narberth</t>
  </si>
  <si>
    <t>SA67 8DE</t>
  </si>
  <si>
    <t>Pembrokeshire</t>
  </si>
  <si>
    <t>Gelamor GmbH - cutlery</t>
  </si>
  <si>
    <t>Hansestr. 7</t>
  </si>
  <si>
    <t>Aramark - Cutlery</t>
  </si>
  <si>
    <t>Frankfurt</t>
  </si>
  <si>
    <t>igefa - Cutlery</t>
  </si>
  <si>
    <t>Stephanie.Fuesgen, Ibrahim Chalabi</t>
  </si>
  <si>
    <t>Stephanie.Fuesgen@igefa.de, ibrahim.chalabi@igefa.de</t>
  </si>
  <si>
    <t>Henry-Kruse-Str. 1</t>
  </si>
  <si>
    <t>Ragaller - ice s</t>
  </si>
  <si>
    <t>Sier disposables</t>
  </si>
  <si>
    <t>Erwin Verbeek und Martin van Gurp</t>
  </si>
  <si>
    <t>Mob. +31 6 1111 68 49 (Fest +31 318 711 048)</t>
  </si>
  <si>
    <t>WC Ede</t>
  </si>
  <si>
    <t>Holger Lechte (Verkaufsleiter)</t>
  </si>
  <si>
    <t>Mob. +49 176 169 470 82 (Fest +49 551 69 47 37)</t>
  </si>
  <si>
    <t>Elliehäuser Weg 7-11</t>
  </si>
  <si>
    <t>Michaela Bolick (Account Managerin), Robert Lehner (Geschäftsführer)</t>
  </si>
  <si>
    <t>Fr. Bolick Mob. +49 177 501 2519 (Fest +49 6192 990 20)</t>
  </si>
  <si>
    <t>michaela.bolick@klarpac.de / robert.lehner@klarpac.de         || Notiz Beachten!</t>
  </si>
  <si>
    <t>Hofheim</t>
  </si>
  <si>
    <t>Cutlery_Tulip Disposables</t>
  </si>
  <si>
    <t>EK Voorburg</t>
  </si>
  <si>
    <t>Gelato49 - Spoons for icecream</t>
  </si>
  <si>
    <t>Greenbox - tableware</t>
  </si>
  <si>
    <t>Lothar Matthies, Michael Brink, Frederik Feuerhahn</t>
  </si>
  <si>
    <t>info@lothar-matthies.de, m.brink@bionatic.com, f.feuerhahn@bionatic.com</t>
  </si>
  <si>
    <t>Schwachhauser Heerstraße 266 b</t>
  </si>
  <si>
    <t>Bunzl - cutlery</t>
  </si>
  <si>
    <t>BUNZL Großhandel GmbH</t>
  </si>
  <si>
    <t>Motokallemi Roozbeh, H.G. Wieskus, Sandra von der Ehe</t>
  </si>
  <si>
    <t>roozbeh.motekallemi@bunzl.de, hg.wieskus@bunzl.de, sandra.vonderehe@bunzl.de</t>
  </si>
  <si>
    <t>Elbestraße 1-3</t>
  </si>
  <si>
    <t>Duni - Tableware</t>
  </si>
  <si>
    <t>DUNI GMBH</t>
  </si>
  <si>
    <t>Marie Davis, Tomasz Doweyko Jurkowski</t>
  </si>
  <si>
    <t>Marie.Davies@duni.com, tomasz.doweyko@duni.com</t>
  </si>
  <si>
    <t>IKEA Europaweit</t>
  </si>
  <si>
    <t>+49 40 6377 - 3221</t>
  </si>
  <si>
    <t>Edeka Niemerszein</t>
  </si>
  <si>
    <t>Frank Ebrecht (GF)</t>
  </si>
  <si>
    <t>+49 40 85 32 1722</t>
  </si>
  <si>
    <t>Magnum/Langnese Eiscreme</t>
  </si>
  <si>
    <t>Magnum Ice Cream Company Germany GmbH</t>
  </si>
  <si>
    <t>Frank Golombek (Director Out of Home, GL)</t>
  </si>
  <si>
    <t>+49 (0) 173 631 95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</si>
</sst>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mm/yyyy"/>
    <numFmt numFmtId="166" formatCode="mmm\-yy"/>
  </numFmts>
  <fonts count="10">
    <font>
      <sz val="11"/>
      <name val="Carlito"/>
    </font>
    <font>
      <sz val="10"/>
      <color rgb="FF404040"/>
      <name val="Arial"/>
      <family val="2"/>
    </font>
    <font>
      <b/>
      <sz val="16"/>
      <color rgb="FF404040"/>
      <name val="Arial"/>
      <family val="2"/>
    </font>
    <font>
      <b/>
      <sz val="10"/>
      <color rgb="FFFFFFFF"/>
      <name val="Arial"/>
      <family val="2"/>
    </font>
    <font>
      <b/>
      <sz val="10"/>
      <color rgb="FF267057"/>
      <name val="Arial"/>
      <family val="2"/>
    </font>
    <font>
      <b/>
      <sz val="14"/>
      <color rgb="FF267057"/>
      <name val="Arial"/>
      <family val="2"/>
    </font>
    <font>
      <sz val="10"/>
      <color rgb="FFA43E32"/>
      <name val="Arial"/>
      <family val="2"/>
    </font>
    <font>
      <sz val="10"/>
      <color rgb="FF68736D"/>
      <name val="Arial"/>
      <family val="2"/>
    </font>
    <font>
      <sz val="10"/>
      <color rgb="FF267057"/>
      <name val="Arial"/>
      <family val="2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F3F6F4"/>
      </patternFill>
    </fill>
    <fill>
      <patternFill patternType="solid">
        <fgColor rgb="FFFFF5D9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FFAA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rgb="FFE6EBE7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1" fillId="2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vertical="center" wrapText="1"/>
    </xf>
    <xf numFmtId="0" fontId="1" fillId="4" borderId="5" xfId="1" applyFont="1" applyFill="1" applyBorder="1" applyAlignment="1">
      <alignment vertical="center" wrapText="1"/>
    </xf>
    <xf numFmtId="0" fontId="4" fillId="2" borderId="5" xfId="1" applyFont="1" applyFill="1" applyBorder="1" applyAlignment="1">
      <alignment vertical="center" wrapText="1"/>
    </xf>
    <xf numFmtId="0" fontId="4" fillId="4" borderId="5" xfId="1" applyFont="1" applyFill="1" applyBorder="1" applyAlignment="1">
      <alignment vertical="center" wrapText="1"/>
    </xf>
    <xf numFmtId="0" fontId="5" fillId="2" borderId="0" xfId="1" applyFont="1" applyFill="1" applyAlignment="1">
      <alignment horizontal="left" vertical="center"/>
    </xf>
    <xf numFmtId="4" fontId="5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164" fontId="1" fillId="2" borderId="5" xfId="1" applyNumberFormat="1" applyFont="1" applyFill="1" applyBorder="1" applyAlignment="1">
      <alignment vertical="center" wrapText="1"/>
    </xf>
    <xf numFmtId="164" fontId="1" fillId="4" borderId="5" xfId="1" applyNumberFormat="1" applyFont="1" applyFill="1" applyBorder="1" applyAlignment="1">
      <alignment vertical="center" wrapText="1"/>
    </xf>
    <xf numFmtId="165" fontId="1" fillId="2" borderId="5" xfId="1" applyNumberFormat="1" applyFont="1" applyFill="1" applyBorder="1" applyAlignment="1">
      <alignment vertical="center" wrapText="1"/>
    </xf>
    <xf numFmtId="165" fontId="1" fillId="4" borderId="5" xfId="1" applyNumberFormat="1" applyFont="1" applyFill="1" applyBorder="1" applyAlignment="1">
      <alignment vertical="center" wrapText="1"/>
    </xf>
    <xf numFmtId="1" fontId="1" fillId="2" borderId="5" xfId="1" applyNumberFormat="1" applyFont="1" applyFill="1" applyBorder="1" applyAlignment="1">
      <alignment vertical="center" wrapText="1"/>
    </xf>
    <xf numFmtId="1" fontId="1" fillId="4" borderId="5" xfId="1" applyNumberFormat="1" applyFont="1" applyFill="1" applyBorder="1" applyAlignment="1">
      <alignment vertical="center" wrapText="1"/>
    </xf>
    <xf numFmtId="4" fontId="1" fillId="2" borderId="5" xfId="1" applyNumberFormat="1" applyFont="1" applyFill="1" applyBorder="1" applyAlignment="1">
      <alignment horizontal="right" vertical="center" wrapText="1"/>
    </xf>
    <xf numFmtId="4" fontId="1" fillId="4" borderId="5" xfId="1" applyNumberFormat="1" applyFont="1" applyFill="1" applyBorder="1" applyAlignment="1">
      <alignment horizontal="right" vertical="center" wrapText="1"/>
    </xf>
    <xf numFmtId="0" fontId="1" fillId="5" borderId="5" xfId="1" applyFont="1" applyFill="1" applyBorder="1" applyAlignment="1">
      <alignment vertical="center" wrapText="1"/>
    </xf>
    <xf numFmtId="164" fontId="1" fillId="5" borderId="5" xfId="1" applyNumberFormat="1" applyFont="1" applyFill="1" applyBorder="1" applyAlignment="1">
      <alignment vertical="center" wrapText="1"/>
    </xf>
    <xf numFmtId="0" fontId="6" fillId="2" borderId="5" xfId="1" applyFont="1" applyFill="1" applyBorder="1" applyAlignment="1">
      <alignment vertical="center" wrapText="1"/>
    </xf>
    <xf numFmtId="0" fontId="6" fillId="4" borderId="5" xfId="1" applyFont="1" applyFill="1" applyBorder="1" applyAlignment="1">
      <alignment vertical="center" wrapText="1"/>
    </xf>
    <xf numFmtId="49" fontId="1" fillId="2" borderId="5" xfId="1" applyNumberFormat="1" applyFont="1" applyFill="1" applyBorder="1" applyAlignment="1">
      <alignment vertical="center" wrapText="1"/>
    </xf>
    <xf numFmtId="49" fontId="1" fillId="4" borderId="5" xfId="1" applyNumberFormat="1" applyFont="1" applyFill="1" applyBorder="1" applyAlignment="1">
      <alignment vertical="center" wrapText="1"/>
    </xf>
    <xf numFmtId="0" fontId="8" fillId="2" borderId="5" xfId="1" applyFont="1" applyFill="1" applyBorder="1" applyAlignment="1">
      <alignment vertical="center" wrapText="1"/>
    </xf>
    <xf numFmtId="0" fontId="8" fillId="4" borderId="5" xfId="1" applyFont="1" applyFill="1" applyBorder="1" applyAlignment="1">
      <alignment vertical="center" wrapText="1"/>
    </xf>
    <xf numFmtId="0" fontId="1" fillId="0" borderId="0" xfId="1" applyFont="1" applyAlignment="1">
      <alignment vertical="center"/>
    </xf>
    <xf numFmtId="0" fontId="3" fillId="3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166" fontId="1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4" fontId="1" fillId="0" borderId="0" xfId="1" applyNumberFormat="1" applyFont="1" applyAlignment="1">
      <alignment vertical="center"/>
    </xf>
    <xf numFmtId="4" fontId="3" fillId="3" borderId="0" xfId="1" applyNumberFormat="1" applyFont="1" applyFill="1" applyAlignment="1">
      <alignment vertical="center" wrapText="1"/>
    </xf>
    <xf numFmtId="4" fontId="1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7">
    <dxf>
      <font>
        <color rgb="FF885B10"/>
      </font>
      <fill>
        <patternFill patternType="solid">
          <bgColor rgb="FFFFF5D9"/>
        </patternFill>
      </fill>
    </dxf>
    <dxf>
      <font>
        <b/>
        <color rgb="FFA43E32"/>
      </font>
      <fill>
        <patternFill patternType="solid">
          <bgColor rgb="FFFCE9E6"/>
        </patternFill>
      </fill>
    </dxf>
    <dxf>
      <font>
        <color rgb="FF885B10"/>
      </font>
      <fill>
        <patternFill patternType="solid">
          <bgColor rgb="FFFFF5D9"/>
        </patternFill>
      </fill>
    </dxf>
    <dxf>
      <font>
        <color rgb="FF885B10"/>
      </font>
      <fill>
        <patternFill patternType="solid">
          <bgColor rgb="FFFFF5D9"/>
        </patternFill>
      </fill>
    </dxf>
    <dxf>
      <font>
        <b/>
        <color rgb="FFA43E32"/>
      </font>
      <fill>
        <patternFill patternType="solid">
          <bgColor rgb="FFFCE9E6"/>
        </patternFill>
      </fill>
    </dxf>
    <dxf>
      <font>
        <color rgb="FF68736D"/>
      </font>
      <fill>
        <patternFill patternType="solid">
          <bgColor rgb="FFECECEC"/>
        </patternFill>
      </fill>
    </dxf>
    <dxf>
      <font>
        <b/>
        <color rgb="FF267057"/>
      </font>
      <fill>
        <patternFill patternType="solid">
          <bgColor rgb="FFD9F2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177800</xdr:colOff>
      <xdr:row>0</xdr:row>
      <xdr:rowOff>98424</xdr:rowOff>
    </xdr:from>
    <xdr:ext cx="1999690" cy="409575"/>
    <xdr:pic>
      <xdr:nvPicPr>
        <xdr:cNvPr id="2" name="1398569e-d05e-4311-a312-c38b784d0a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8424"/>
          <a:ext cx="1999690" cy="409575"/>
        </a:xfrm>
        <a:prstGeom prst="rect">
          <a:avLst/>
        </a:prstGeom>
      </xdr:spPr>
    </xdr:pic>
    <xdr:clientData/>
  </xdr:oneCellAnchor>
  <xdr:oneCellAnchor>
    <xdr:from>
      <xdr:col>6</xdr:col>
      <xdr:colOff>88900</xdr:colOff>
      <xdr:row>1</xdr:row>
      <xdr:rowOff>34924</xdr:rowOff>
    </xdr:from>
    <xdr:ext cx="2182416" cy="371475"/>
    <xdr:pic>
      <xdr:nvPicPr>
        <xdr:cNvPr id="3" name="d3ca08cf-2299-4d98-9f1c-47994a479ff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8100" y="149224"/>
          <a:ext cx="2182416" cy="371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47625</xdr:rowOff>
    </xdr:from>
    <xdr:ext cx="1581150" cy="323850"/>
    <xdr:pic>
      <xdr:nvPicPr>
        <xdr:cNvPr id="2" name="83578aec-7a72-4226-a9e5-0f1629b02ea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47625</xdr:rowOff>
    </xdr:from>
    <xdr:ext cx="1581150" cy="323850"/>
    <xdr:pic>
      <xdr:nvPicPr>
        <xdr:cNvPr id="2" name="27f7dba7-8e48-4ee3-8245-6f6ce56c702c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584200</xdr:colOff>
      <xdr:row>17</xdr:row>
      <xdr:rowOff>279400</xdr:rowOff>
    </xdr:to>
    <xdr:sp macro="" textlink="">
      <xdr:nvSpPr>
        <xdr:cNvPr id="4105" name="Text Box 9" hidden="1">
          <a:extLst>
            <a:ext uri="{FF2B5EF4-FFF2-40B4-BE49-F238E27FC236}">
              <a16:creationId xmlns:a16="http://schemas.microsoft.com/office/drawing/2014/main" id="{5119C5CC-7DDF-A1FC-EB9C-DC389C976C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koLeads" displayName="EckoLeads" ref="A9:Q45" totalsRowShown="0">
  <autoFilter ref="A9:Q45" xr:uid="{00000000-0009-0000-0100-000001000000}"/>
  <tableColumns count="17">
    <tableColumn id="1" xr3:uid="{00000000-0010-0000-0000-000001000000}" name="Lead-ID"/>
    <tableColumn id="2" xr3:uid="{00000000-0010-0000-0000-000002000000}" name="Chance / Zielkunde"/>
    <tableColumn id="3" xr3:uid="{00000000-0010-0000-0000-000003000000}" name="Firmen-ID"/>
    <tableColumn id="4" xr3:uid="{00000000-0010-0000-0000-000004000000}" name="Produktbedarf"/>
    <tableColumn id="5" xr3:uid="{00000000-0010-0000-0000-000005000000}" name="Potenzial (t)"/>
    <tableColumn id="6" xr3:uid="{00000000-0010-0000-0000-000006000000}" name="Status"/>
    <tableColumn id="7" xr3:uid="{00000000-0010-0000-0000-000007000000}" name="Priorität"/>
    <tableColumn id="8" xr3:uid="{00000000-0010-0000-0000-000008000000}" name="Zuständig"/>
    <tableColumn id="9" xr3:uid="{00000000-0010-0000-0000-000009000000}" name="Nächster Schritt"/>
    <tableColumn id="10" xr3:uid="{00000000-0010-0000-0000-00000A000000}" name="Wiedervorlage"/>
    <tableColumn id="11" xr3:uid="{00000000-0010-0000-0000-00000B000000}" name="Kontaktmonat Vorlage"/>
    <tableColumn id="12" xr3:uid="{00000000-0010-0000-0000-00000C000000}" name="Termin Vorlage"/>
    <tableColumn id="13" xr3:uid="{00000000-0010-0000-0000-00000D000000}" name="Herkunft / Kürzel"/>
    <tableColumn id="14" xr3:uid="{00000000-0010-0000-0000-00000E000000}" name="Gaiasip-Interesse"/>
    <tableColumn id="15" xr3:uid="{00000000-0010-0000-0000-00000F000000}" name="Prüfhinweis"/>
    <tableColumn id="16" xr3:uid="{00000000-0010-0000-0000-000010000000}" name="Gesprächsnotiz"/>
    <tableColumn id="17" xr3:uid="{00000000-0010-0000-0000-000011000000}" name="Originalzei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ckoFirmen" displayName="EckoFirmen" ref="A9:P44" totalsRowShown="0">
  <autoFilter ref="A9:P44" xr:uid="{00000000-0009-0000-0100-000002000000}"/>
  <tableColumns count="16">
    <tableColumn id="1" xr3:uid="{00000000-0010-0000-0100-000001000000}" name="Firmen-ID"/>
    <tableColumn id="2" xr3:uid="{00000000-0010-0000-0100-000002000000}" name="Marke / Kurzname"/>
    <tableColumn id="3" xr3:uid="{00000000-0010-0000-0100-000003000000}" name="Firmierung / Organisation"/>
    <tableColumn id="4" xr3:uid="{00000000-0010-0000-0100-000004000000}" name="Segment"/>
    <tableColumn id="5" xr3:uid="{00000000-0010-0000-0100-000005000000}" name="Land"/>
    <tableColumn id="6" xr3:uid="{00000000-0010-0000-0100-000006000000}" name="Straße / Standort"/>
    <tableColumn id="7" xr3:uid="{00000000-0010-0000-0100-000007000000}" name="PLZ"/>
    <tableColumn id="8" xr3:uid="{00000000-0010-0000-0100-000008000000}" name="Ort / Region"/>
    <tableColumn id="9" xr3:uid="{00000000-0010-0000-0100-000009000000}" name="Telefon allgemein"/>
    <tableColumn id="10" xr3:uid="{00000000-0010-0000-0100-00000A000000}" name="E-Mail allgemein"/>
    <tableColumn id="11" xr3:uid="{00000000-0010-0000-0100-00000B000000}" name="Website"/>
    <tableColumn id="12" xr3:uid="{00000000-0010-0000-0100-00000C000000}" name="Datenstatus"/>
    <tableColumn id="13" xr3:uid="{00000000-0010-0000-0100-00000D000000}" name="Einordnung / Prüfhinweis"/>
    <tableColumn id="14" xr3:uid="{00000000-0010-0000-0100-00000E000000}" name="Quelle · Hauptnachweis"/>
    <tableColumn id="15" xr3:uid="{00000000-0010-0000-0100-00000F000000}" name="Weitere Quellen"/>
    <tableColumn id="16" xr3:uid="{00000000-0010-0000-0100-000010000000}" name="Recherche a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koKontakte" displayName="EckoKontakte" ref="A9:M60" totalsRowShown="0">
  <autoFilter ref="A9:M60" xr:uid="{00000000-0009-0000-0100-000003000000}"/>
  <tableColumns count="13">
    <tableColumn id="1" xr3:uid="{00000000-0010-0000-0200-000001000000}" name="Kontakt-ID"/>
    <tableColumn id="2" xr3:uid="{00000000-0010-0000-0200-000002000000}" name="Firmen-ID"/>
    <tableColumn id="3" xr3:uid="{00000000-0010-0000-0200-000003000000}" name="Firmenbezug"/>
    <tableColumn id="4" xr3:uid="{00000000-0010-0000-0200-000004000000}" name="Name"/>
    <tableColumn id="5" xr3:uid="{00000000-0010-0000-0200-000005000000}" name="Funktion"/>
    <tableColumn id="6" xr3:uid="{00000000-0010-0000-0200-000006000000}" name="Persönliche E-Mail"/>
    <tableColumn id="7" xr3:uid="{00000000-0010-0000-0200-000007000000}" name="Durchwahl"/>
    <tableColumn id="8" xr3:uid="{00000000-0010-0000-0200-000008000000}" name="Mobil"/>
    <tableColumn id="9" xr3:uid="{00000000-0010-0000-0200-000009000000}" name="Lead-Bezug"/>
    <tableColumn id="10" xr3:uid="{00000000-0010-0000-0200-00000A000000}" name="Prüfstatus"/>
    <tableColumn id="11" xr3:uid="{00000000-0010-0000-0200-00000B000000}" name="Kontakt- / Prüfnotiz"/>
    <tableColumn id="12" xr3:uid="{00000000-0010-0000-0200-00000C000000}" name="Herkunft / Nachweis"/>
    <tableColumn id="13" xr3:uid="{00000000-0010-0000-0200-00000D000000}" name="Originalzei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04040"/>
  </sheetPr>
  <dimension ref="A1:Q45"/>
  <sheetViews>
    <sheetView showGridLines="0" tabSelected="1" workbookViewId="0">
      <pane xSplit="2" ySplit="9" topLeftCell="C10" activePane="bottomRight" state="frozen"/>
      <selection pane="bottomRight" activeCell="E14" sqref="E14"/>
      <selection pane="bottomLeft"/>
      <selection pane="topRight"/>
    </sheetView>
  </sheetViews>
  <sheetFormatPr defaultColWidth="8.875" defaultRowHeight="14.1"/>
  <cols>
    <col min="1" max="1" width="11" customWidth="1"/>
    <col min="2" max="2" width="34" customWidth="1"/>
    <col min="3" max="3" width="12" customWidth="1"/>
    <col min="4" max="4" width="26" customWidth="1"/>
    <col min="5" max="5" width="13" customWidth="1"/>
    <col min="6" max="6" width="20" customWidth="1"/>
    <col min="7" max="7" width="15" customWidth="1"/>
    <col min="8" max="8" width="21" customWidth="1"/>
    <col min="9" max="9" width="48" customWidth="1"/>
    <col min="10" max="12" width="17" customWidth="1"/>
    <col min="13" max="13" width="18" customWidth="1"/>
    <col min="14" max="14" width="15" customWidth="1"/>
    <col min="15" max="15" width="46" customWidth="1"/>
    <col min="16" max="16" width="42" customWidth="1"/>
    <col min="17" max="17" width="13" customWidth="1"/>
  </cols>
  <sheetData>
    <row r="1" spans="1:17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3.950000000000003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</row>
    <row r="4" spans="1:17" ht="23.1" customHeight="1">
      <c r="A4" s="1" t="s">
        <v>1</v>
      </c>
      <c r="B4" s="11">
        <f>COUNTA(EckoLeads[Lead-ID])</f>
        <v>36</v>
      </c>
      <c r="C4" s="1" t="s">
        <v>2</v>
      </c>
      <c r="D4" s="11">
        <f>COUNTA(Firmen!$A$10:$A$1000)</f>
        <v>35</v>
      </c>
      <c r="E4" s="1" t="s">
        <v>3</v>
      </c>
      <c r="F4" s="12">
        <f>SUM(EckoLeads[Potenzial (t)])</f>
        <v>729.55</v>
      </c>
      <c r="G4" s="1" t="s">
        <v>4</v>
      </c>
      <c r="H4" s="11">
        <f>COUNTA(EckoLeads[Lead-ID])-COUNT(EckoLeads[Potenzial (t)])</f>
        <v>5</v>
      </c>
      <c r="I4" s="1" t="s">
        <v>5</v>
      </c>
      <c r="J4" s="11">
        <f>COUNTA(Kontakte!$A$10:$A$1000)</f>
        <v>51</v>
      </c>
      <c r="K4" s="1"/>
      <c r="L4" s="1"/>
      <c r="M4" s="1"/>
      <c r="N4" s="1"/>
      <c r="O4" s="1"/>
      <c r="P4" s="1"/>
      <c r="Q4" s="1"/>
    </row>
    <row r="5" spans="1:17" ht="23.1" customHeight="1">
      <c r="A5" s="13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>
      <c r="A6" s="14" t="s">
        <v>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3.1" customHeight="1">
      <c r="A7" s="14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3.1" customHeight="1">
      <c r="A8" s="15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33.950000000000003" customHeight="1">
      <c r="A9" s="4" t="s">
        <v>10</v>
      </c>
      <c r="B9" s="5" t="s">
        <v>11</v>
      </c>
      <c r="C9" s="5" t="s">
        <v>12</v>
      </c>
      <c r="D9" s="5" t="s">
        <v>13</v>
      </c>
      <c r="E9" s="5" t="s">
        <v>3</v>
      </c>
      <c r="F9" s="5" t="s">
        <v>14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5" t="s">
        <v>24</v>
      </c>
      <c r="Q9" s="6" t="s">
        <v>25</v>
      </c>
    </row>
    <row r="10" spans="1:17" ht="48" customHeight="1">
      <c r="A10" s="9" t="s">
        <v>26</v>
      </c>
      <c r="B10" s="7" t="s">
        <v>27</v>
      </c>
      <c r="C10" s="7" t="s">
        <v>28</v>
      </c>
      <c r="D10" s="7" t="s">
        <v>29</v>
      </c>
      <c r="E10" s="22">
        <v>50</v>
      </c>
      <c r="F10" s="24" t="s">
        <v>30</v>
      </c>
      <c r="G10" s="24" t="s">
        <v>31</v>
      </c>
      <c r="H10" s="24"/>
      <c r="I10" s="24" t="s">
        <v>32</v>
      </c>
      <c r="J10" s="25"/>
      <c r="K10" s="18">
        <v>45689</v>
      </c>
      <c r="L10" s="16"/>
      <c r="M10" s="7"/>
      <c r="N10" s="7" t="s">
        <v>31</v>
      </c>
      <c r="O10" s="26" t="s">
        <v>33</v>
      </c>
      <c r="P10" s="24"/>
      <c r="Q10" s="20">
        <v>3</v>
      </c>
    </row>
    <row r="11" spans="1:17" ht="48" customHeight="1">
      <c r="A11" s="10" t="s">
        <v>34</v>
      </c>
      <c r="B11" s="8" t="s">
        <v>35</v>
      </c>
      <c r="C11" s="8" t="s">
        <v>36</v>
      </c>
      <c r="D11" s="8" t="s">
        <v>37</v>
      </c>
      <c r="E11" s="23">
        <v>1</v>
      </c>
      <c r="F11" s="24" t="s">
        <v>30</v>
      </c>
      <c r="G11" s="24" t="s">
        <v>31</v>
      </c>
      <c r="H11" s="24"/>
      <c r="I11" s="24" t="s">
        <v>32</v>
      </c>
      <c r="J11" s="25"/>
      <c r="K11" s="19">
        <v>45717</v>
      </c>
      <c r="L11" s="17"/>
      <c r="M11" s="8"/>
      <c r="N11" s="8" t="s">
        <v>31</v>
      </c>
      <c r="O11" s="27" t="s">
        <v>33</v>
      </c>
      <c r="P11" s="24"/>
      <c r="Q11" s="21">
        <v>4</v>
      </c>
    </row>
    <row r="12" spans="1:17" ht="48" customHeight="1">
      <c r="A12" s="9" t="s">
        <v>38</v>
      </c>
      <c r="B12" s="7" t="s">
        <v>39</v>
      </c>
      <c r="C12" s="7" t="s">
        <v>40</v>
      </c>
      <c r="D12" s="7" t="s">
        <v>41</v>
      </c>
      <c r="E12" s="22">
        <v>1</v>
      </c>
      <c r="F12" s="24" t="s">
        <v>30</v>
      </c>
      <c r="G12" s="24" t="s">
        <v>31</v>
      </c>
      <c r="H12" s="24"/>
      <c r="I12" s="24" t="s">
        <v>32</v>
      </c>
      <c r="J12" s="25"/>
      <c r="K12" s="18">
        <v>45748</v>
      </c>
      <c r="L12" s="16"/>
      <c r="M12" s="7"/>
      <c r="N12" s="7" t="s">
        <v>31</v>
      </c>
      <c r="O12" s="26" t="s">
        <v>33</v>
      </c>
      <c r="P12" s="24"/>
      <c r="Q12" s="20">
        <v>5</v>
      </c>
    </row>
    <row r="13" spans="1:17" ht="48" customHeight="1">
      <c r="A13" s="10" t="s">
        <v>42</v>
      </c>
      <c r="B13" s="8" t="s">
        <v>43</v>
      </c>
      <c r="C13" s="8" t="s">
        <v>44</v>
      </c>
      <c r="D13" s="8" t="s">
        <v>45</v>
      </c>
      <c r="E13" s="23">
        <v>4</v>
      </c>
      <c r="F13" s="24" t="s">
        <v>30</v>
      </c>
      <c r="G13" s="24" t="s">
        <v>31</v>
      </c>
      <c r="H13" s="24"/>
      <c r="I13" s="24" t="s">
        <v>32</v>
      </c>
      <c r="J13" s="25"/>
      <c r="K13" s="19">
        <v>45809</v>
      </c>
      <c r="L13" s="17"/>
      <c r="M13" s="8"/>
      <c r="N13" s="8" t="s">
        <v>31</v>
      </c>
      <c r="O13" s="27" t="s">
        <v>33</v>
      </c>
      <c r="P13" s="24"/>
      <c r="Q13" s="21">
        <v>6</v>
      </c>
    </row>
    <row r="14" spans="1:17" ht="48" customHeight="1">
      <c r="A14" s="9" t="s">
        <v>46</v>
      </c>
      <c r="B14" s="7" t="s">
        <v>47</v>
      </c>
      <c r="C14" s="7" t="s">
        <v>48</v>
      </c>
      <c r="D14" s="7" t="s">
        <v>45</v>
      </c>
      <c r="E14" s="22">
        <v>5</v>
      </c>
      <c r="F14" s="24" t="s">
        <v>30</v>
      </c>
      <c r="G14" s="24" t="s">
        <v>31</v>
      </c>
      <c r="H14" s="24"/>
      <c r="I14" s="24" t="s">
        <v>49</v>
      </c>
      <c r="J14" s="25"/>
      <c r="K14" s="18">
        <v>45809</v>
      </c>
      <c r="L14" s="16"/>
      <c r="M14" s="7"/>
      <c r="N14" s="7" t="s">
        <v>31</v>
      </c>
      <c r="O14" s="26" t="s">
        <v>50</v>
      </c>
      <c r="P14" s="24"/>
      <c r="Q14" s="20">
        <v>7</v>
      </c>
    </row>
    <row r="15" spans="1:17" ht="48" customHeight="1">
      <c r="A15" s="10" t="s">
        <v>51</v>
      </c>
      <c r="B15" s="8" t="s">
        <v>52</v>
      </c>
      <c r="C15" s="8" t="s">
        <v>53</v>
      </c>
      <c r="D15" s="8" t="s">
        <v>54</v>
      </c>
      <c r="E15" s="23">
        <v>5</v>
      </c>
      <c r="F15" s="24" t="s">
        <v>30</v>
      </c>
      <c r="G15" s="24" t="s">
        <v>31</v>
      </c>
      <c r="H15" s="24"/>
      <c r="I15" s="24" t="s">
        <v>32</v>
      </c>
      <c r="J15" s="25"/>
      <c r="K15" s="19">
        <v>45809</v>
      </c>
      <c r="L15" s="17"/>
      <c r="M15" s="8"/>
      <c r="N15" s="8" t="s">
        <v>31</v>
      </c>
      <c r="O15" s="27" t="s">
        <v>33</v>
      </c>
      <c r="P15" s="24"/>
      <c r="Q15" s="21">
        <v>8</v>
      </c>
    </row>
    <row r="16" spans="1:17" ht="48" customHeight="1">
      <c r="A16" s="9" t="s">
        <v>55</v>
      </c>
      <c r="B16" s="7" t="s">
        <v>56</v>
      </c>
      <c r="C16" s="7" t="s">
        <v>57</v>
      </c>
      <c r="D16" s="7" t="s">
        <v>45</v>
      </c>
      <c r="E16" s="22">
        <v>1</v>
      </c>
      <c r="F16" s="24" t="s">
        <v>30</v>
      </c>
      <c r="G16" s="24" t="s">
        <v>31</v>
      </c>
      <c r="H16" s="24"/>
      <c r="I16" s="24" t="s">
        <v>32</v>
      </c>
      <c r="J16" s="25"/>
      <c r="K16" s="18">
        <v>45870</v>
      </c>
      <c r="L16" s="16"/>
      <c r="M16" s="7"/>
      <c r="N16" s="7" t="s">
        <v>31</v>
      </c>
      <c r="O16" s="26" t="s">
        <v>33</v>
      </c>
      <c r="P16" s="24"/>
      <c r="Q16" s="20">
        <v>9</v>
      </c>
    </row>
    <row r="17" spans="1:17" ht="48" customHeight="1">
      <c r="A17" s="10" t="s">
        <v>58</v>
      </c>
      <c r="B17" s="8" t="s">
        <v>59</v>
      </c>
      <c r="C17" s="8" t="s">
        <v>60</v>
      </c>
      <c r="D17" s="8" t="s">
        <v>61</v>
      </c>
      <c r="E17" s="23">
        <v>1</v>
      </c>
      <c r="F17" s="24" t="s">
        <v>30</v>
      </c>
      <c r="G17" s="24" t="s">
        <v>31</v>
      </c>
      <c r="H17" s="24"/>
      <c r="I17" s="24" t="s">
        <v>62</v>
      </c>
      <c r="J17" s="25"/>
      <c r="K17" s="19">
        <v>45901</v>
      </c>
      <c r="L17" s="17"/>
      <c r="M17" s="8"/>
      <c r="N17" s="8" t="s">
        <v>31</v>
      </c>
      <c r="O17" s="27" t="s">
        <v>63</v>
      </c>
      <c r="P17" s="24"/>
      <c r="Q17" s="21">
        <v>10</v>
      </c>
    </row>
    <row r="18" spans="1:17" ht="48" customHeight="1">
      <c r="A18" s="9" t="s">
        <v>64</v>
      </c>
      <c r="B18" s="7" t="s">
        <v>65</v>
      </c>
      <c r="C18" s="7" t="s">
        <v>66</v>
      </c>
      <c r="D18" s="7" t="s">
        <v>45</v>
      </c>
      <c r="E18" s="22">
        <v>1</v>
      </c>
      <c r="F18" s="24" t="s">
        <v>30</v>
      </c>
      <c r="G18" s="24" t="s">
        <v>31</v>
      </c>
      <c r="H18" s="24"/>
      <c r="I18" s="24" t="s">
        <v>67</v>
      </c>
      <c r="J18" s="25"/>
      <c r="K18" s="18">
        <v>45931</v>
      </c>
      <c r="L18" s="16"/>
      <c r="M18" s="7"/>
      <c r="N18" s="7" t="s">
        <v>31</v>
      </c>
      <c r="O18" s="26" t="s">
        <v>68</v>
      </c>
      <c r="P18" s="24"/>
      <c r="Q18" s="20">
        <v>11</v>
      </c>
    </row>
    <row r="19" spans="1:17" ht="48" customHeight="1">
      <c r="A19" s="10" t="s">
        <v>69</v>
      </c>
      <c r="B19" s="8" t="s">
        <v>70</v>
      </c>
      <c r="C19" s="8" t="s">
        <v>71</v>
      </c>
      <c r="D19" s="8" t="s">
        <v>37</v>
      </c>
      <c r="E19" s="23">
        <v>1</v>
      </c>
      <c r="F19" s="24" t="s">
        <v>30</v>
      </c>
      <c r="G19" s="24" t="s">
        <v>31</v>
      </c>
      <c r="H19" s="24"/>
      <c r="I19" s="24" t="s">
        <v>32</v>
      </c>
      <c r="J19" s="25"/>
      <c r="K19" s="19">
        <v>45931</v>
      </c>
      <c r="L19" s="17"/>
      <c r="M19" s="8"/>
      <c r="N19" s="8" t="s">
        <v>31</v>
      </c>
      <c r="O19" s="27" t="s">
        <v>33</v>
      </c>
      <c r="P19" s="24"/>
      <c r="Q19" s="21">
        <v>12</v>
      </c>
    </row>
    <row r="20" spans="1:17" ht="48" customHeight="1">
      <c r="A20" s="9" t="s">
        <v>72</v>
      </c>
      <c r="B20" s="7" t="s">
        <v>73</v>
      </c>
      <c r="C20" s="7" t="s">
        <v>74</v>
      </c>
      <c r="D20" s="7" t="s">
        <v>45</v>
      </c>
      <c r="E20" s="22">
        <v>5</v>
      </c>
      <c r="F20" s="24" t="s">
        <v>30</v>
      </c>
      <c r="G20" s="24" t="s">
        <v>31</v>
      </c>
      <c r="H20" s="24"/>
      <c r="I20" s="24" t="s">
        <v>32</v>
      </c>
      <c r="J20" s="25"/>
      <c r="K20" s="18">
        <v>45931</v>
      </c>
      <c r="L20" s="16"/>
      <c r="M20" s="7"/>
      <c r="N20" s="7" t="s">
        <v>31</v>
      </c>
      <c r="O20" s="26" t="s">
        <v>33</v>
      </c>
      <c r="P20" s="24"/>
      <c r="Q20" s="20">
        <v>13</v>
      </c>
    </row>
    <row r="21" spans="1:17" ht="48" customHeight="1">
      <c r="A21" s="10" t="s">
        <v>75</v>
      </c>
      <c r="B21" s="8" t="s">
        <v>76</v>
      </c>
      <c r="C21" s="8" t="s">
        <v>77</v>
      </c>
      <c r="D21" s="8" t="s">
        <v>45</v>
      </c>
      <c r="E21" s="23">
        <v>5</v>
      </c>
      <c r="F21" s="24" t="s">
        <v>30</v>
      </c>
      <c r="G21" s="24" t="s">
        <v>31</v>
      </c>
      <c r="H21" s="24"/>
      <c r="I21" s="24" t="s">
        <v>78</v>
      </c>
      <c r="J21" s="25"/>
      <c r="K21" s="19">
        <v>45931</v>
      </c>
      <c r="L21" s="17"/>
      <c r="M21" s="8"/>
      <c r="N21" s="8" t="s">
        <v>31</v>
      </c>
      <c r="O21" s="27" t="s">
        <v>79</v>
      </c>
      <c r="P21" s="24"/>
      <c r="Q21" s="21">
        <v>14</v>
      </c>
    </row>
    <row r="22" spans="1:17" ht="48" customHeight="1">
      <c r="A22" s="9" t="s">
        <v>80</v>
      </c>
      <c r="B22" s="7" t="s">
        <v>81</v>
      </c>
      <c r="C22" s="7" t="s">
        <v>82</v>
      </c>
      <c r="D22" s="7" t="s">
        <v>45</v>
      </c>
      <c r="E22" s="22">
        <v>1</v>
      </c>
      <c r="F22" s="24" t="s">
        <v>30</v>
      </c>
      <c r="G22" s="24" t="s">
        <v>31</v>
      </c>
      <c r="H22" s="24"/>
      <c r="I22" s="24" t="s">
        <v>32</v>
      </c>
      <c r="J22" s="25"/>
      <c r="K22" s="18">
        <v>45962</v>
      </c>
      <c r="L22" s="16"/>
      <c r="M22" s="7"/>
      <c r="N22" s="7" t="s">
        <v>31</v>
      </c>
      <c r="O22" s="26" t="s">
        <v>33</v>
      </c>
      <c r="P22" s="24"/>
      <c r="Q22" s="20">
        <v>15</v>
      </c>
    </row>
    <row r="23" spans="1:17" ht="48" customHeight="1">
      <c r="A23" s="10" t="s">
        <v>83</v>
      </c>
      <c r="B23" s="8" t="s">
        <v>84</v>
      </c>
      <c r="C23" s="8" t="s">
        <v>85</v>
      </c>
      <c r="D23" s="8" t="s">
        <v>45</v>
      </c>
      <c r="E23" s="23">
        <v>1</v>
      </c>
      <c r="F23" s="24" t="s">
        <v>30</v>
      </c>
      <c r="G23" s="24" t="s">
        <v>31</v>
      </c>
      <c r="H23" s="24"/>
      <c r="I23" s="24" t="s">
        <v>32</v>
      </c>
      <c r="J23" s="25"/>
      <c r="K23" s="19">
        <v>45992</v>
      </c>
      <c r="L23" s="17"/>
      <c r="M23" s="8"/>
      <c r="N23" s="8" t="s">
        <v>31</v>
      </c>
      <c r="O23" s="27" t="s">
        <v>33</v>
      </c>
      <c r="P23" s="24"/>
      <c r="Q23" s="21">
        <v>16</v>
      </c>
    </row>
    <row r="24" spans="1:17" ht="48" customHeight="1">
      <c r="A24" s="9" t="s">
        <v>86</v>
      </c>
      <c r="B24" s="7" t="s">
        <v>87</v>
      </c>
      <c r="C24" s="7" t="s">
        <v>88</v>
      </c>
      <c r="D24" s="7" t="s">
        <v>45</v>
      </c>
      <c r="E24" s="22">
        <v>2</v>
      </c>
      <c r="F24" s="24" t="s">
        <v>30</v>
      </c>
      <c r="G24" s="24" t="s">
        <v>31</v>
      </c>
      <c r="H24" s="24"/>
      <c r="I24" s="24" t="s">
        <v>32</v>
      </c>
      <c r="J24" s="25"/>
      <c r="K24" s="18">
        <v>46054</v>
      </c>
      <c r="L24" s="16"/>
      <c r="M24" s="7"/>
      <c r="N24" s="7" t="s">
        <v>31</v>
      </c>
      <c r="O24" s="26" t="s">
        <v>33</v>
      </c>
      <c r="P24" s="24"/>
      <c r="Q24" s="20">
        <v>17</v>
      </c>
    </row>
    <row r="25" spans="1:17" ht="48" customHeight="1">
      <c r="A25" s="10" t="s">
        <v>89</v>
      </c>
      <c r="B25" s="8" t="s">
        <v>90</v>
      </c>
      <c r="C25" s="8" t="s">
        <v>91</v>
      </c>
      <c r="D25" s="8" t="s">
        <v>45</v>
      </c>
      <c r="E25" s="23">
        <v>20</v>
      </c>
      <c r="F25" s="24" t="s">
        <v>30</v>
      </c>
      <c r="G25" s="24" t="s">
        <v>31</v>
      </c>
      <c r="H25" s="24"/>
      <c r="I25" s="24" t="s">
        <v>32</v>
      </c>
      <c r="J25" s="25"/>
      <c r="K25" s="19">
        <v>46054</v>
      </c>
      <c r="L25" s="17"/>
      <c r="M25" s="8"/>
      <c r="N25" s="8" t="s">
        <v>31</v>
      </c>
      <c r="O25" s="27" t="s">
        <v>33</v>
      </c>
      <c r="P25" s="24"/>
      <c r="Q25" s="21">
        <v>18</v>
      </c>
    </row>
    <row r="26" spans="1:17" ht="48" customHeight="1">
      <c r="A26" s="9" t="s">
        <v>92</v>
      </c>
      <c r="B26" s="7" t="s">
        <v>93</v>
      </c>
      <c r="C26" s="7" t="s">
        <v>94</v>
      </c>
      <c r="D26" s="7" t="s">
        <v>45</v>
      </c>
      <c r="E26" s="22">
        <v>267</v>
      </c>
      <c r="F26" s="24" t="s">
        <v>30</v>
      </c>
      <c r="G26" s="24" t="s">
        <v>31</v>
      </c>
      <c r="H26" s="24"/>
      <c r="I26" s="24" t="s">
        <v>95</v>
      </c>
      <c r="J26" s="25"/>
      <c r="K26" s="18">
        <v>46054</v>
      </c>
      <c r="L26" s="16"/>
      <c r="M26" s="7"/>
      <c r="N26" s="7" t="s">
        <v>31</v>
      </c>
      <c r="O26" s="26" t="s">
        <v>96</v>
      </c>
      <c r="P26" s="24"/>
      <c r="Q26" s="20">
        <v>19</v>
      </c>
    </row>
    <row r="27" spans="1:17" ht="48" customHeight="1">
      <c r="A27" s="10" t="s">
        <v>97</v>
      </c>
      <c r="B27" s="8" t="s">
        <v>98</v>
      </c>
      <c r="C27" s="8" t="s">
        <v>99</v>
      </c>
      <c r="D27" s="8" t="s">
        <v>45</v>
      </c>
      <c r="E27" s="23">
        <v>1</v>
      </c>
      <c r="F27" s="24" t="s">
        <v>30</v>
      </c>
      <c r="G27" s="24" t="s">
        <v>31</v>
      </c>
      <c r="H27" s="24"/>
      <c r="I27" s="24" t="s">
        <v>32</v>
      </c>
      <c r="J27" s="25"/>
      <c r="K27" s="19">
        <v>46082</v>
      </c>
      <c r="L27" s="17"/>
      <c r="M27" s="8"/>
      <c r="N27" s="8" t="s">
        <v>31</v>
      </c>
      <c r="O27" s="27" t="s">
        <v>33</v>
      </c>
      <c r="P27" s="24"/>
      <c r="Q27" s="21">
        <v>20</v>
      </c>
    </row>
    <row r="28" spans="1:17" ht="48" customHeight="1">
      <c r="A28" s="9" t="s">
        <v>100</v>
      </c>
      <c r="B28" s="7" t="s">
        <v>101</v>
      </c>
      <c r="C28" s="7" t="s">
        <v>102</v>
      </c>
      <c r="D28" s="7" t="s">
        <v>45</v>
      </c>
      <c r="E28" s="22">
        <v>1</v>
      </c>
      <c r="F28" s="24" t="s">
        <v>30</v>
      </c>
      <c r="G28" s="24" t="s">
        <v>31</v>
      </c>
      <c r="H28" s="24"/>
      <c r="I28" s="24" t="s">
        <v>32</v>
      </c>
      <c r="J28" s="25"/>
      <c r="K28" s="18">
        <v>46082</v>
      </c>
      <c r="L28" s="16"/>
      <c r="M28" s="7"/>
      <c r="N28" s="7" t="s">
        <v>31</v>
      </c>
      <c r="O28" s="26" t="s">
        <v>33</v>
      </c>
      <c r="P28" s="24"/>
      <c r="Q28" s="20">
        <v>21</v>
      </c>
    </row>
    <row r="29" spans="1:17" ht="48" customHeight="1">
      <c r="A29" s="10" t="s">
        <v>103</v>
      </c>
      <c r="B29" s="8" t="s">
        <v>104</v>
      </c>
      <c r="C29" s="8" t="s">
        <v>105</v>
      </c>
      <c r="D29" s="8" t="s">
        <v>45</v>
      </c>
      <c r="E29" s="23">
        <v>15</v>
      </c>
      <c r="F29" s="24" t="s">
        <v>30</v>
      </c>
      <c r="G29" s="24" t="s">
        <v>31</v>
      </c>
      <c r="H29" s="24"/>
      <c r="I29" s="24" t="s">
        <v>32</v>
      </c>
      <c r="J29" s="25"/>
      <c r="K29" s="19">
        <v>46082</v>
      </c>
      <c r="L29" s="17"/>
      <c r="M29" s="8"/>
      <c r="N29" s="8" t="s">
        <v>31</v>
      </c>
      <c r="O29" s="27" t="s">
        <v>33</v>
      </c>
      <c r="P29" s="24"/>
      <c r="Q29" s="21">
        <v>22</v>
      </c>
    </row>
    <row r="30" spans="1:17" ht="48" customHeight="1">
      <c r="A30" s="9" t="s">
        <v>106</v>
      </c>
      <c r="B30" s="7" t="s">
        <v>107</v>
      </c>
      <c r="C30" s="7" t="s">
        <v>108</v>
      </c>
      <c r="D30" s="7" t="s">
        <v>45</v>
      </c>
      <c r="E30" s="22">
        <v>10</v>
      </c>
      <c r="F30" s="24" t="s">
        <v>30</v>
      </c>
      <c r="G30" s="24" t="s">
        <v>31</v>
      </c>
      <c r="H30" s="24"/>
      <c r="I30" s="24" t="s">
        <v>109</v>
      </c>
      <c r="J30" s="25"/>
      <c r="K30" s="18">
        <v>46082</v>
      </c>
      <c r="L30" s="16">
        <v>46181</v>
      </c>
      <c r="M30" s="7"/>
      <c r="N30" s="7" t="s">
        <v>31</v>
      </c>
      <c r="O30" s="26" t="s">
        <v>110</v>
      </c>
      <c r="P30" s="24"/>
      <c r="Q30" s="20">
        <v>23</v>
      </c>
    </row>
    <row r="31" spans="1:17" ht="48" customHeight="1">
      <c r="A31" s="10" t="s">
        <v>111</v>
      </c>
      <c r="B31" s="8" t="s">
        <v>112</v>
      </c>
      <c r="C31" s="8" t="s">
        <v>113</v>
      </c>
      <c r="D31" s="8" t="s">
        <v>114</v>
      </c>
      <c r="E31" s="23">
        <v>0.3</v>
      </c>
      <c r="F31" s="24" t="s">
        <v>30</v>
      </c>
      <c r="G31" s="24" t="s">
        <v>31</v>
      </c>
      <c r="H31" s="24"/>
      <c r="I31" s="24" t="s">
        <v>115</v>
      </c>
      <c r="J31" s="25"/>
      <c r="K31" s="19">
        <v>46082</v>
      </c>
      <c r="L31" s="17"/>
      <c r="M31" s="8"/>
      <c r="N31" s="8" t="s">
        <v>31</v>
      </c>
      <c r="O31" s="27" t="s">
        <v>116</v>
      </c>
      <c r="P31" s="24"/>
      <c r="Q31" s="21">
        <v>24</v>
      </c>
    </row>
    <row r="32" spans="1:17" ht="48" customHeight="1">
      <c r="A32" s="9" t="s">
        <v>117</v>
      </c>
      <c r="B32" s="7" t="s">
        <v>118</v>
      </c>
      <c r="C32" s="7" t="s">
        <v>119</v>
      </c>
      <c r="D32" s="7" t="s">
        <v>61</v>
      </c>
      <c r="E32" s="22">
        <v>2</v>
      </c>
      <c r="F32" s="24" t="s">
        <v>30</v>
      </c>
      <c r="G32" s="24" t="s">
        <v>31</v>
      </c>
      <c r="H32" s="24"/>
      <c r="I32" s="24" t="s">
        <v>120</v>
      </c>
      <c r="J32" s="25"/>
      <c r="K32" s="18">
        <v>46082</v>
      </c>
      <c r="L32" s="16"/>
      <c r="M32" s="7" t="s">
        <v>121</v>
      </c>
      <c r="N32" s="7" t="s">
        <v>122</v>
      </c>
      <c r="O32" s="26" t="s">
        <v>123</v>
      </c>
      <c r="P32" s="24"/>
      <c r="Q32" s="20">
        <v>25</v>
      </c>
    </row>
    <row r="33" spans="1:17" ht="48" customHeight="1">
      <c r="A33" s="10" t="s">
        <v>124</v>
      </c>
      <c r="B33" s="8" t="s">
        <v>125</v>
      </c>
      <c r="C33" s="8" t="s">
        <v>126</v>
      </c>
      <c r="D33" s="8" t="s">
        <v>61</v>
      </c>
      <c r="E33" s="23">
        <v>1</v>
      </c>
      <c r="F33" s="24" t="s">
        <v>30</v>
      </c>
      <c r="G33" s="24" t="s">
        <v>31</v>
      </c>
      <c r="H33" s="24"/>
      <c r="I33" s="24" t="s">
        <v>32</v>
      </c>
      <c r="J33" s="25"/>
      <c r="K33" s="19">
        <v>46082</v>
      </c>
      <c r="L33" s="17"/>
      <c r="M33" s="8" t="s">
        <v>121</v>
      </c>
      <c r="N33" s="8" t="s">
        <v>122</v>
      </c>
      <c r="O33" s="27" t="s">
        <v>33</v>
      </c>
      <c r="P33" s="24"/>
      <c r="Q33" s="21">
        <v>26</v>
      </c>
    </row>
    <row r="34" spans="1:17" ht="48" customHeight="1">
      <c r="A34" s="9" t="s">
        <v>127</v>
      </c>
      <c r="B34" s="7" t="s">
        <v>128</v>
      </c>
      <c r="C34" s="7" t="s">
        <v>129</v>
      </c>
      <c r="D34" s="7" t="s">
        <v>61</v>
      </c>
      <c r="E34" s="22">
        <v>0.25</v>
      </c>
      <c r="F34" s="24" t="s">
        <v>30</v>
      </c>
      <c r="G34" s="24" t="s">
        <v>31</v>
      </c>
      <c r="H34" s="24"/>
      <c r="I34" s="24" t="s">
        <v>130</v>
      </c>
      <c r="J34" s="25"/>
      <c r="K34" s="18">
        <v>46082</v>
      </c>
      <c r="L34" s="16"/>
      <c r="M34" s="7" t="s">
        <v>121</v>
      </c>
      <c r="N34" s="7" t="s">
        <v>122</v>
      </c>
      <c r="O34" s="26" t="s">
        <v>131</v>
      </c>
      <c r="P34" s="24" t="s">
        <v>132</v>
      </c>
      <c r="Q34" s="20">
        <v>27</v>
      </c>
    </row>
    <row r="35" spans="1:17" ht="48" customHeight="1">
      <c r="A35" s="10" t="s">
        <v>133</v>
      </c>
      <c r="B35" s="8" t="s">
        <v>134</v>
      </c>
      <c r="C35" s="8" t="s">
        <v>135</v>
      </c>
      <c r="D35" s="8" t="s">
        <v>45</v>
      </c>
      <c r="E35" s="23">
        <v>288</v>
      </c>
      <c r="F35" s="24" t="s">
        <v>30</v>
      </c>
      <c r="G35" s="24" t="s">
        <v>31</v>
      </c>
      <c r="H35" s="24"/>
      <c r="I35" s="24" t="s">
        <v>136</v>
      </c>
      <c r="J35" s="25"/>
      <c r="K35" s="19">
        <v>46113</v>
      </c>
      <c r="L35" s="17"/>
      <c r="M35" s="8"/>
      <c r="N35" s="8" t="s">
        <v>31</v>
      </c>
      <c r="O35" s="27" t="s">
        <v>137</v>
      </c>
      <c r="P35" s="24"/>
      <c r="Q35" s="21">
        <v>28</v>
      </c>
    </row>
    <row r="36" spans="1:17" ht="48" customHeight="1">
      <c r="A36" s="9" t="s">
        <v>138</v>
      </c>
      <c r="B36" s="7" t="s">
        <v>139</v>
      </c>
      <c r="C36" s="7" t="s">
        <v>140</v>
      </c>
      <c r="D36" s="7" t="s">
        <v>54</v>
      </c>
      <c r="E36" s="22">
        <v>1</v>
      </c>
      <c r="F36" s="24" t="s">
        <v>30</v>
      </c>
      <c r="G36" s="24" t="s">
        <v>31</v>
      </c>
      <c r="H36" s="24"/>
      <c r="I36" s="24" t="s">
        <v>32</v>
      </c>
      <c r="J36" s="25"/>
      <c r="K36" s="18">
        <v>46143</v>
      </c>
      <c r="L36" s="16"/>
      <c r="M36" s="7"/>
      <c r="N36" s="7" t="s">
        <v>31</v>
      </c>
      <c r="O36" s="26" t="s">
        <v>33</v>
      </c>
      <c r="P36" s="24"/>
      <c r="Q36" s="20">
        <v>29</v>
      </c>
    </row>
    <row r="37" spans="1:17" ht="48" customHeight="1">
      <c r="A37" s="10" t="s">
        <v>141</v>
      </c>
      <c r="B37" s="8" t="s">
        <v>142</v>
      </c>
      <c r="C37" s="8" t="s">
        <v>143</v>
      </c>
      <c r="D37" s="8" t="s">
        <v>144</v>
      </c>
      <c r="E37" s="23">
        <v>2</v>
      </c>
      <c r="F37" s="24" t="s">
        <v>30</v>
      </c>
      <c r="G37" s="24" t="s">
        <v>31</v>
      </c>
      <c r="H37" s="24"/>
      <c r="I37" s="24" t="s">
        <v>32</v>
      </c>
      <c r="J37" s="25"/>
      <c r="K37" s="19">
        <v>46143</v>
      </c>
      <c r="L37" s="17"/>
      <c r="M37" s="8"/>
      <c r="N37" s="8" t="s">
        <v>31</v>
      </c>
      <c r="O37" s="27" t="s">
        <v>145</v>
      </c>
      <c r="P37" s="24"/>
      <c r="Q37" s="21">
        <v>30</v>
      </c>
    </row>
    <row r="38" spans="1:17" ht="48" customHeight="1">
      <c r="A38" s="9" t="s">
        <v>146</v>
      </c>
      <c r="B38" s="7" t="s">
        <v>147</v>
      </c>
      <c r="C38" s="7" t="s">
        <v>148</v>
      </c>
      <c r="D38" s="7" t="s">
        <v>45</v>
      </c>
      <c r="E38" s="22">
        <v>10</v>
      </c>
      <c r="F38" s="24" t="s">
        <v>30</v>
      </c>
      <c r="G38" s="24" t="s">
        <v>31</v>
      </c>
      <c r="H38" s="24"/>
      <c r="I38" s="24" t="s">
        <v>149</v>
      </c>
      <c r="J38" s="25"/>
      <c r="K38" s="18">
        <v>46143</v>
      </c>
      <c r="L38" s="16"/>
      <c r="M38" s="7"/>
      <c r="N38" s="7" t="s">
        <v>31</v>
      </c>
      <c r="O38" s="26" t="s">
        <v>150</v>
      </c>
      <c r="P38" s="24"/>
      <c r="Q38" s="20">
        <v>31</v>
      </c>
    </row>
    <row r="39" spans="1:17" ht="48" customHeight="1">
      <c r="A39" s="10" t="s">
        <v>151</v>
      </c>
      <c r="B39" s="8" t="s">
        <v>152</v>
      </c>
      <c r="C39" s="8" t="s">
        <v>153</v>
      </c>
      <c r="D39" s="8" t="s">
        <v>144</v>
      </c>
      <c r="E39" s="23">
        <v>10</v>
      </c>
      <c r="F39" s="24" t="s">
        <v>30</v>
      </c>
      <c r="G39" s="24" t="s">
        <v>31</v>
      </c>
      <c r="H39" s="24"/>
      <c r="I39" s="24" t="s">
        <v>154</v>
      </c>
      <c r="J39" s="25"/>
      <c r="K39" s="19">
        <v>46174</v>
      </c>
      <c r="L39" s="17"/>
      <c r="M39" s="8"/>
      <c r="N39" s="8" t="s">
        <v>31</v>
      </c>
      <c r="O39" s="27" t="s">
        <v>155</v>
      </c>
      <c r="P39" s="24"/>
      <c r="Q39" s="21">
        <v>32</v>
      </c>
    </row>
    <row r="40" spans="1:17" ht="48" customHeight="1">
      <c r="A40" s="9" t="s">
        <v>156</v>
      </c>
      <c r="B40" s="7" t="s">
        <v>157</v>
      </c>
      <c r="C40" s="7" t="s">
        <v>108</v>
      </c>
      <c r="D40" s="7" t="s">
        <v>61</v>
      </c>
      <c r="E40" s="22">
        <v>17</v>
      </c>
      <c r="F40" s="24" t="s">
        <v>30</v>
      </c>
      <c r="G40" s="24" t="s">
        <v>31</v>
      </c>
      <c r="H40" s="24"/>
      <c r="I40" s="24" t="s">
        <v>158</v>
      </c>
      <c r="J40" s="25"/>
      <c r="K40" s="18">
        <v>46174</v>
      </c>
      <c r="L40" s="16"/>
      <c r="M40" s="7"/>
      <c r="N40" s="7" t="s">
        <v>31</v>
      </c>
      <c r="O40" s="26" t="s">
        <v>159</v>
      </c>
      <c r="P40" s="24"/>
      <c r="Q40" s="20">
        <v>33</v>
      </c>
    </row>
    <row r="41" spans="1:17" ht="48" customHeight="1">
      <c r="A41" s="10" t="s">
        <v>160</v>
      </c>
      <c r="B41" s="8" t="s">
        <v>161</v>
      </c>
      <c r="C41" s="8" t="s">
        <v>162</v>
      </c>
      <c r="D41" s="8" t="s">
        <v>61</v>
      </c>
      <c r="E41" s="23"/>
      <c r="F41" s="24" t="s">
        <v>30</v>
      </c>
      <c r="G41" s="24" t="s">
        <v>31</v>
      </c>
      <c r="H41" s="24"/>
      <c r="I41" s="24" t="s">
        <v>163</v>
      </c>
      <c r="J41" s="25"/>
      <c r="K41" s="19">
        <v>46174</v>
      </c>
      <c r="L41" s="17">
        <v>46175</v>
      </c>
      <c r="M41" s="8" t="s">
        <v>164</v>
      </c>
      <c r="N41" s="8" t="s">
        <v>31</v>
      </c>
      <c r="O41" s="27" t="s">
        <v>165</v>
      </c>
      <c r="P41" s="24"/>
      <c r="Q41" s="21">
        <v>34</v>
      </c>
    </row>
    <row r="42" spans="1:17" ht="48" customHeight="1">
      <c r="A42" s="9" t="s">
        <v>166</v>
      </c>
      <c r="B42" s="7" t="s">
        <v>167</v>
      </c>
      <c r="C42" s="7" t="s">
        <v>168</v>
      </c>
      <c r="D42" s="7" t="s">
        <v>61</v>
      </c>
      <c r="E42" s="22"/>
      <c r="F42" s="24" t="s">
        <v>30</v>
      </c>
      <c r="G42" s="24" t="s">
        <v>31</v>
      </c>
      <c r="H42" s="24"/>
      <c r="I42" s="24" t="s">
        <v>169</v>
      </c>
      <c r="J42" s="25"/>
      <c r="K42" s="18">
        <v>46204</v>
      </c>
      <c r="L42" s="16">
        <v>46216</v>
      </c>
      <c r="M42" s="7" t="s">
        <v>164</v>
      </c>
      <c r="N42" s="7" t="s">
        <v>31</v>
      </c>
      <c r="O42" s="26" t="s">
        <v>170</v>
      </c>
      <c r="P42" s="24"/>
      <c r="Q42" s="20">
        <v>35</v>
      </c>
    </row>
    <row r="43" spans="1:17" ht="48" customHeight="1">
      <c r="A43" s="10" t="s">
        <v>171</v>
      </c>
      <c r="B43" s="8" t="s">
        <v>172</v>
      </c>
      <c r="C43" s="8" t="s">
        <v>173</v>
      </c>
      <c r="D43" s="8" t="s">
        <v>61</v>
      </c>
      <c r="E43" s="23"/>
      <c r="F43" s="24" t="s">
        <v>30</v>
      </c>
      <c r="G43" s="24" t="s">
        <v>31</v>
      </c>
      <c r="H43" s="24"/>
      <c r="I43" s="24" t="s">
        <v>174</v>
      </c>
      <c r="J43" s="25"/>
      <c r="K43" s="19">
        <v>46204</v>
      </c>
      <c r="L43" s="17">
        <v>46209</v>
      </c>
      <c r="M43" s="8" t="s">
        <v>164</v>
      </c>
      <c r="N43" s="8" t="s">
        <v>31</v>
      </c>
      <c r="O43" s="27" t="s">
        <v>175</v>
      </c>
      <c r="P43" s="24"/>
      <c r="Q43" s="21">
        <v>36</v>
      </c>
    </row>
    <row r="44" spans="1:17" ht="48" customHeight="1">
      <c r="A44" s="9" t="s">
        <v>176</v>
      </c>
      <c r="B44" s="7" t="s">
        <v>177</v>
      </c>
      <c r="C44" s="7" t="s">
        <v>178</v>
      </c>
      <c r="D44" s="7" t="s">
        <v>61</v>
      </c>
      <c r="E44" s="22"/>
      <c r="F44" s="24" t="s">
        <v>30</v>
      </c>
      <c r="G44" s="24" t="s">
        <v>31</v>
      </c>
      <c r="H44" s="24"/>
      <c r="I44" s="24" t="s">
        <v>179</v>
      </c>
      <c r="J44" s="25"/>
      <c r="K44" s="18">
        <v>46204</v>
      </c>
      <c r="L44" s="16"/>
      <c r="M44" s="7" t="s">
        <v>164</v>
      </c>
      <c r="N44" s="7" t="s">
        <v>31</v>
      </c>
      <c r="O44" s="26" t="s">
        <v>180</v>
      </c>
      <c r="P44" s="24"/>
      <c r="Q44" s="20">
        <v>37</v>
      </c>
    </row>
    <row r="45" spans="1:17" ht="48" customHeight="1">
      <c r="A45" s="10" t="s">
        <v>181</v>
      </c>
      <c r="B45" s="8" t="s">
        <v>182</v>
      </c>
      <c r="C45" s="8" t="s">
        <v>183</v>
      </c>
      <c r="D45" s="8" t="s">
        <v>61</v>
      </c>
      <c r="E45" s="23"/>
      <c r="F45" s="24" t="s">
        <v>30</v>
      </c>
      <c r="G45" s="24" t="s">
        <v>31</v>
      </c>
      <c r="H45" s="24"/>
      <c r="I45" s="24" t="s">
        <v>184</v>
      </c>
      <c r="J45" s="25"/>
      <c r="K45" s="19">
        <v>46204</v>
      </c>
      <c r="L45" s="17"/>
      <c r="M45" s="8" t="s">
        <v>185</v>
      </c>
      <c r="N45" s="8" t="s">
        <v>31</v>
      </c>
      <c r="O45" s="27" t="s">
        <v>186</v>
      </c>
      <c r="P45" s="24"/>
      <c r="Q45" s="21">
        <v>38</v>
      </c>
    </row>
  </sheetData>
  <conditionalFormatting sqref="F10:F45">
    <cfRule type="containsText" dxfId="6" priority="2" operator="containsText" text="Gewonnen"/>
    <cfRule type="containsText" dxfId="5" priority="3" operator="containsText" text="Verloren"/>
  </conditionalFormatting>
  <conditionalFormatting sqref="J10:J45">
    <cfRule type="expression" dxfId="4" priority="1">
      <formula>AND(ISNUMBER(J10),J10&lt;TODAY(),F10&lt;&gt;"Gewonnen",F10&lt;&gt;"Verloren")</formula>
    </cfRule>
  </conditionalFormatting>
  <dataValidations count="3">
    <dataValidation type="list" sqref="F10:F45" xr:uid="{00000000-0002-0000-0000-000000000000}">
      <formula1>"Stand prüfen,Neu,Kontaktiert,Bedarf geklärt,Muster / Test,Angebot,Verhandlung,Gewonnen,Verloren,Pausiert"</formula1>
    </dataValidation>
    <dataValidation type="list" sqref="G10:G45" xr:uid="{00000000-0002-0000-0000-000001000000}">
      <formula1>"Offen,A – hoch,B – mittel,C – niedrig"</formula1>
    </dataValidation>
    <dataValidation type="list" sqref="N10:N45" xr:uid="{00000000-0002-0000-0000-000002000000}">
      <formula1>"Offen,Ja,Nein"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7057"/>
  </sheetPr>
  <dimension ref="A1:P44"/>
  <sheetViews>
    <sheetView showGridLines="0" workbookViewId="0">
      <pane xSplit="2" ySplit="9" topLeftCell="C34" activePane="bottomRight" state="frozen"/>
      <selection pane="bottomRight" activeCell="C40" sqref="C40"/>
      <selection pane="bottomLeft"/>
      <selection pane="topRight"/>
    </sheetView>
  </sheetViews>
  <sheetFormatPr defaultColWidth="8.875" defaultRowHeight="14.1"/>
  <cols>
    <col min="1" max="1" width="11" customWidth="1"/>
    <col min="2" max="2" width="28" customWidth="1"/>
    <col min="3" max="3" width="42" customWidth="1"/>
    <col min="4" max="5" width="25" customWidth="1"/>
    <col min="6" max="6" width="40" customWidth="1"/>
    <col min="7" max="7" width="15" customWidth="1"/>
    <col min="8" max="8" width="32" customWidth="1"/>
    <col min="9" max="9" width="25" customWidth="1"/>
    <col min="10" max="10" width="41" customWidth="1"/>
    <col min="11" max="11" width="43" customWidth="1"/>
    <col min="12" max="12" width="27" customWidth="1"/>
    <col min="13" max="13" width="76" customWidth="1"/>
    <col min="14" max="15" width="67" customWidth="1"/>
    <col min="16" max="16" width="17" customWidth="1"/>
  </cols>
  <sheetData>
    <row r="1" spans="1:16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3.950000000000003" customHeight="1">
      <c r="A2" s="1"/>
      <c r="B2" s="1"/>
      <c r="C2" s="2" t="s">
        <v>187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</row>
    <row r="4" spans="1:16" ht="23.1" customHeight="1">
      <c r="A4" s="14" t="s">
        <v>188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1" customHeight="1">
      <c r="A5" s="14" t="s">
        <v>189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1" customHeight="1">
      <c r="A6" s="14" t="s">
        <v>190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3.1" customHeight="1">
      <c r="A7" s="14" t="s">
        <v>191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3.1" customHeight="1">
      <c r="A8" s="15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33.950000000000003" customHeight="1">
      <c r="A9" s="4" t="s">
        <v>12</v>
      </c>
      <c r="B9" s="5" t="s">
        <v>192</v>
      </c>
      <c r="C9" s="5" t="s">
        <v>193</v>
      </c>
      <c r="D9" s="5" t="s">
        <v>194</v>
      </c>
      <c r="E9" s="5" t="s">
        <v>195</v>
      </c>
      <c r="F9" s="5" t="s">
        <v>196</v>
      </c>
      <c r="G9" s="5" t="s">
        <v>197</v>
      </c>
      <c r="H9" s="5" t="s">
        <v>198</v>
      </c>
      <c r="I9" s="5" t="s">
        <v>199</v>
      </c>
      <c r="J9" s="5" t="s">
        <v>200</v>
      </c>
      <c r="K9" s="5" t="s">
        <v>201</v>
      </c>
      <c r="L9" s="5" t="s">
        <v>202</v>
      </c>
      <c r="M9" s="5" t="s">
        <v>203</v>
      </c>
      <c r="N9" s="5" t="s">
        <v>204</v>
      </c>
      <c r="O9" s="5" t="s">
        <v>205</v>
      </c>
      <c r="P9" s="6" t="s">
        <v>206</v>
      </c>
    </row>
    <row r="10" spans="1:16" ht="57" customHeight="1">
      <c r="A10" s="9" t="s">
        <v>28</v>
      </c>
      <c r="B10" s="7" t="s">
        <v>207</v>
      </c>
      <c r="C10" s="7" t="s">
        <v>208</v>
      </c>
      <c r="D10" s="7" t="s">
        <v>209</v>
      </c>
      <c r="E10" s="7" t="s">
        <v>210</v>
      </c>
      <c r="F10" s="7" t="s">
        <v>211</v>
      </c>
      <c r="G10" s="28" t="s">
        <v>212</v>
      </c>
      <c r="H10" s="7" t="s">
        <v>213</v>
      </c>
      <c r="I10" s="28" t="s">
        <v>214</v>
      </c>
      <c r="J10" s="28" t="s">
        <v>215</v>
      </c>
      <c r="K10" s="30" t="s">
        <v>216</v>
      </c>
      <c r="L10" s="7" t="s">
        <v>217</v>
      </c>
      <c r="M10" s="7" t="s">
        <v>218</v>
      </c>
      <c r="N10" s="30" t="s">
        <v>219</v>
      </c>
      <c r="O10" s="30"/>
      <c r="P10" s="16">
        <v>46292</v>
      </c>
    </row>
    <row r="11" spans="1:16" ht="57" customHeight="1">
      <c r="A11" s="10" t="s">
        <v>36</v>
      </c>
      <c r="B11" s="8" t="s">
        <v>220</v>
      </c>
      <c r="C11" s="8" t="s">
        <v>221</v>
      </c>
      <c r="D11" s="8" t="s">
        <v>222</v>
      </c>
      <c r="E11" s="8" t="s">
        <v>210</v>
      </c>
      <c r="F11" s="8" t="s">
        <v>223</v>
      </c>
      <c r="G11" s="29" t="s">
        <v>224</v>
      </c>
      <c r="H11" s="8" t="s">
        <v>225</v>
      </c>
      <c r="I11" s="29"/>
      <c r="J11" s="29" t="s">
        <v>226</v>
      </c>
      <c r="K11" s="31" t="s">
        <v>227</v>
      </c>
      <c r="L11" s="8" t="s">
        <v>228</v>
      </c>
      <c r="M11" s="8" t="s">
        <v>229</v>
      </c>
      <c r="N11" s="31" t="s">
        <v>230</v>
      </c>
      <c r="O11" s="31" t="s">
        <v>231</v>
      </c>
      <c r="P11" s="17">
        <v>46292</v>
      </c>
    </row>
    <row r="12" spans="1:16" ht="57" customHeight="1">
      <c r="A12" s="9" t="s">
        <v>40</v>
      </c>
      <c r="B12" s="7" t="s">
        <v>232</v>
      </c>
      <c r="C12" s="7" t="s">
        <v>233</v>
      </c>
      <c r="D12" s="7" t="s">
        <v>234</v>
      </c>
      <c r="E12" s="7" t="s">
        <v>235</v>
      </c>
      <c r="F12" s="7" t="s">
        <v>236</v>
      </c>
      <c r="G12" s="28" t="s">
        <v>237</v>
      </c>
      <c r="H12" s="7" t="s">
        <v>238</v>
      </c>
      <c r="I12" s="28" t="s">
        <v>239</v>
      </c>
      <c r="J12" s="28" t="s">
        <v>240</v>
      </c>
      <c r="K12" s="30" t="s">
        <v>241</v>
      </c>
      <c r="L12" s="7" t="s">
        <v>228</v>
      </c>
      <c r="M12" s="7" t="s">
        <v>242</v>
      </c>
      <c r="N12" s="30" t="s">
        <v>241</v>
      </c>
      <c r="O12" s="30"/>
      <c r="P12" s="16">
        <v>46292</v>
      </c>
    </row>
    <row r="13" spans="1:16" ht="57" customHeight="1">
      <c r="A13" s="10" t="s">
        <v>44</v>
      </c>
      <c r="B13" s="8" t="s">
        <v>243</v>
      </c>
      <c r="C13" s="8" t="s">
        <v>243</v>
      </c>
      <c r="D13" s="8" t="s">
        <v>244</v>
      </c>
      <c r="E13" s="8" t="s">
        <v>245</v>
      </c>
      <c r="F13" s="8" t="s">
        <v>246</v>
      </c>
      <c r="G13" s="29" t="s">
        <v>247</v>
      </c>
      <c r="H13" s="8" t="s">
        <v>248</v>
      </c>
      <c r="I13" s="29" t="s">
        <v>249</v>
      </c>
      <c r="J13" s="29" t="s">
        <v>250</v>
      </c>
      <c r="K13" s="31" t="s">
        <v>251</v>
      </c>
      <c r="L13" s="8" t="s">
        <v>252</v>
      </c>
      <c r="M13" s="8" t="s">
        <v>253</v>
      </c>
      <c r="N13" s="31" t="s">
        <v>254</v>
      </c>
      <c r="O13" s="31"/>
      <c r="P13" s="17">
        <v>46292</v>
      </c>
    </row>
    <row r="14" spans="1:16" ht="57" customHeight="1">
      <c r="A14" s="9" t="s">
        <v>48</v>
      </c>
      <c r="B14" s="7" t="s">
        <v>255</v>
      </c>
      <c r="C14" s="7" t="s">
        <v>256</v>
      </c>
      <c r="D14" s="7" t="s">
        <v>209</v>
      </c>
      <c r="E14" s="7" t="s">
        <v>257</v>
      </c>
      <c r="F14" s="7" t="s">
        <v>258</v>
      </c>
      <c r="G14" s="28" t="s">
        <v>259</v>
      </c>
      <c r="H14" s="7" t="s">
        <v>260</v>
      </c>
      <c r="I14" s="28" t="s">
        <v>261</v>
      </c>
      <c r="J14" s="28" t="s">
        <v>262</v>
      </c>
      <c r="K14" s="30" t="s">
        <v>263</v>
      </c>
      <c r="L14" s="7" t="s">
        <v>264</v>
      </c>
      <c r="M14" s="7" t="s">
        <v>265</v>
      </c>
      <c r="N14" s="30" t="s">
        <v>266</v>
      </c>
      <c r="O14" s="30" t="s">
        <v>267</v>
      </c>
      <c r="P14" s="16">
        <v>46292</v>
      </c>
    </row>
    <row r="15" spans="1:16" ht="57" customHeight="1">
      <c r="A15" s="10" t="s">
        <v>53</v>
      </c>
      <c r="B15" s="8" t="s">
        <v>268</v>
      </c>
      <c r="C15" s="8" t="s">
        <v>269</v>
      </c>
      <c r="D15" s="8" t="s">
        <v>234</v>
      </c>
      <c r="E15" s="8" t="s">
        <v>210</v>
      </c>
      <c r="F15" s="8" t="s">
        <v>270</v>
      </c>
      <c r="G15" s="29" t="s">
        <v>271</v>
      </c>
      <c r="H15" s="8" t="s">
        <v>225</v>
      </c>
      <c r="I15" s="29" t="s">
        <v>272</v>
      </c>
      <c r="J15" s="29" t="s">
        <v>273</v>
      </c>
      <c r="K15" s="31" t="s">
        <v>274</v>
      </c>
      <c r="L15" s="8" t="s">
        <v>228</v>
      </c>
      <c r="M15" s="8" t="s">
        <v>275</v>
      </c>
      <c r="N15" s="31" t="s">
        <v>276</v>
      </c>
      <c r="O15" s="31"/>
      <c r="P15" s="17">
        <v>46292</v>
      </c>
    </row>
    <row r="16" spans="1:16" ht="57" customHeight="1">
      <c r="A16" s="9" t="s">
        <v>57</v>
      </c>
      <c r="B16" s="7" t="s">
        <v>277</v>
      </c>
      <c r="C16" s="7" t="s">
        <v>278</v>
      </c>
      <c r="D16" s="7" t="s">
        <v>279</v>
      </c>
      <c r="E16" s="7" t="s">
        <v>280</v>
      </c>
      <c r="F16" s="7" t="s">
        <v>281</v>
      </c>
      <c r="G16" s="28" t="s">
        <v>282</v>
      </c>
      <c r="H16" s="7" t="s">
        <v>283</v>
      </c>
      <c r="I16" s="28" t="s">
        <v>284</v>
      </c>
      <c r="J16" s="28" t="s">
        <v>285</v>
      </c>
      <c r="K16" s="30" t="s">
        <v>286</v>
      </c>
      <c r="L16" s="7" t="s">
        <v>228</v>
      </c>
      <c r="M16" s="7" t="s">
        <v>287</v>
      </c>
      <c r="N16" s="30" t="s">
        <v>288</v>
      </c>
      <c r="O16" s="30" t="s">
        <v>289</v>
      </c>
      <c r="P16" s="16">
        <v>46292</v>
      </c>
    </row>
    <row r="17" spans="1:16" ht="57" customHeight="1">
      <c r="A17" s="10" t="s">
        <v>60</v>
      </c>
      <c r="B17" s="8" t="s">
        <v>290</v>
      </c>
      <c r="C17" s="8" t="s">
        <v>291</v>
      </c>
      <c r="D17" s="8" t="s">
        <v>292</v>
      </c>
      <c r="E17" s="8" t="s">
        <v>210</v>
      </c>
      <c r="F17" s="8" t="s">
        <v>293</v>
      </c>
      <c r="G17" s="29" t="s">
        <v>294</v>
      </c>
      <c r="H17" s="8" t="s">
        <v>225</v>
      </c>
      <c r="I17" s="29" t="s">
        <v>295</v>
      </c>
      <c r="J17" s="29" t="s">
        <v>296</v>
      </c>
      <c r="K17" s="31" t="s">
        <v>297</v>
      </c>
      <c r="L17" s="8" t="s">
        <v>228</v>
      </c>
      <c r="M17" s="8" t="s">
        <v>298</v>
      </c>
      <c r="N17" s="31" t="s">
        <v>299</v>
      </c>
      <c r="O17" s="31"/>
      <c r="P17" s="17">
        <v>46292</v>
      </c>
    </row>
    <row r="18" spans="1:16" ht="57" customHeight="1">
      <c r="A18" s="9" t="s">
        <v>66</v>
      </c>
      <c r="B18" s="7" t="s">
        <v>300</v>
      </c>
      <c r="C18" s="7" t="s">
        <v>301</v>
      </c>
      <c r="D18" s="7" t="s">
        <v>302</v>
      </c>
      <c r="E18" s="7" t="s">
        <v>210</v>
      </c>
      <c r="F18" s="7" t="s">
        <v>303</v>
      </c>
      <c r="G18" s="28" t="s">
        <v>304</v>
      </c>
      <c r="H18" s="7" t="s">
        <v>305</v>
      </c>
      <c r="I18" s="28" t="s">
        <v>306</v>
      </c>
      <c r="J18" s="28" t="s">
        <v>307</v>
      </c>
      <c r="K18" s="30" t="s">
        <v>308</v>
      </c>
      <c r="L18" s="7" t="s">
        <v>309</v>
      </c>
      <c r="M18" s="7" t="s">
        <v>310</v>
      </c>
      <c r="N18" s="30" t="s">
        <v>311</v>
      </c>
      <c r="O18" s="30"/>
      <c r="P18" s="16">
        <v>46292</v>
      </c>
    </row>
    <row r="19" spans="1:16" ht="57" customHeight="1">
      <c r="A19" s="10" t="s">
        <v>71</v>
      </c>
      <c r="B19" s="8" t="s">
        <v>312</v>
      </c>
      <c r="C19" s="8" t="s">
        <v>313</v>
      </c>
      <c r="D19" s="8" t="s">
        <v>314</v>
      </c>
      <c r="E19" s="8" t="s">
        <v>210</v>
      </c>
      <c r="F19" s="8" t="s">
        <v>315</v>
      </c>
      <c r="G19" s="29" t="s">
        <v>316</v>
      </c>
      <c r="H19" s="8" t="s">
        <v>317</v>
      </c>
      <c r="I19" s="29" t="s">
        <v>318</v>
      </c>
      <c r="J19" s="29" t="s">
        <v>319</v>
      </c>
      <c r="K19" s="31" t="s">
        <v>320</v>
      </c>
      <c r="L19" s="8" t="s">
        <v>228</v>
      </c>
      <c r="M19" s="8" t="s">
        <v>275</v>
      </c>
      <c r="N19" s="31" t="s">
        <v>321</v>
      </c>
      <c r="O19" s="31"/>
      <c r="P19" s="17">
        <v>46292</v>
      </c>
    </row>
    <row r="20" spans="1:16" ht="57" customHeight="1">
      <c r="A20" s="9" t="s">
        <v>74</v>
      </c>
      <c r="B20" s="7" t="s">
        <v>322</v>
      </c>
      <c r="C20" s="7" t="s">
        <v>323</v>
      </c>
      <c r="D20" s="7" t="s">
        <v>279</v>
      </c>
      <c r="E20" s="7" t="s">
        <v>324</v>
      </c>
      <c r="F20" s="7" t="s">
        <v>325</v>
      </c>
      <c r="G20" s="28" t="s">
        <v>326</v>
      </c>
      <c r="H20" s="7" t="s">
        <v>327</v>
      </c>
      <c r="I20" s="28" t="s">
        <v>328</v>
      </c>
      <c r="J20" s="28" t="s">
        <v>329</v>
      </c>
      <c r="K20" s="30" t="s">
        <v>330</v>
      </c>
      <c r="L20" s="7" t="s">
        <v>228</v>
      </c>
      <c r="M20" s="7" t="s">
        <v>331</v>
      </c>
      <c r="N20" s="30" t="s">
        <v>332</v>
      </c>
      <c r="O20" s="30"/>
      <c r="P20" s="16">
        <v>46292</v>
      </c>
    </row>
    <row r="21" spans="1:16" ht="57" customHeight="1">
      <c r="A21" s="10" t="s">
        <v>77</v>
      </c>
      <c r="B21" s="8" t="s">
        <v>333</v>
      </c>
      <c r="C21" s="8" t="s">
        <v>334</v>
      </c>
      <c r="D21" s="8" t="s">
        <v>335</v>
      </c>
      <c r="E21" s="8" t="s">
        <v>336</v>
      </c>
      <c r="F21" s="8" t="s">
        <v>337</v>
      </c>
      <c r="G21" s="29" t="s">
        <v>338</v>
      </c>
      <c r="H21" s="8" t="s">
        <v>339</v>
      </c>
      <c r="I21" s="29" t="s">
        <v>340</v>
      </c>
      <c r="J21" s="29"/>
      <c r="K21" s="31" t="s">
        <v>341</v>
      </c>
      <c r="L21" s="8" t="s">
        <v>342</v>
      </c>
      <c r="M21" s="8" t="s">
        <v>343</v>
      </c>
      <c r="N21" s="31" t="s">
        <v>344</v>
      </c>
      <c r="O21" s="31"/>
      <c r="P21" s="17">
        <v>46292</v>
      </c>
    </row>
    <row r="22" spans="1:16" ht="57" customHeight="1">
      <c r="A22" s="9" t="s">
        <v>82</v>
      </c>
      <c r="B22" s="7" t="s">
        <v>345</v>
      </c>
      <c r="C22" s="7" t="s">
        <v>346</v>
      </c>
      <c r="D22" s="7" t="s">
        <v>279</v>
      </c>
      <c r="E22" s="7" t="s">
        <v>347</v>
      </c>
      <c r="F22" s="7" t="s">
        <v>348</v>
      </c>
      <c r="G22" s="28" t="s">
        <v>349</v>
      </c>
      <c r="H22" s="7" t="s">
        <v>350</v>
      </c>
      <c r="I22" s="28" t="s">
        <v>351</v>
      </c>
      <c r="J22" s="28" t="s">
        <v>352</v>
      </c>
      <c r="K22" s="30" t="s">
        <v>353</v>
      </c>
      <c r="L22" s="7" t="s">
        <v>228</v>
      </c>
      <c r="M22" s="7" t="s">
        <v>354</v>
      </c>
      <c r="N22" s="30" t="s">
        <v>355</v>
      </c>
      <c r="O22" s="30"/>
      <c r="P22" s="16">
        <v>46292</v>
      </c>
    </row>
    <row r="23" spans="1:16" ht="57" customHeight="1">
      <c r="A23" s="10" t="s">
        <v>85</v>
      </c>
      <c r="B23" s="8" t="s">
        <v>356</v>
      </c>
      <c r="C23" s="8" t="s">
        <v>357</v>
      </c>
      <c r="D23" s="8" t="s">
        <v>279</v>
      </c>
      <c r="E23" s="8" t="s">
        <v>336</v>
      </c>
      <c r="F23" s="8" t="s">
        <v>358</v>
      </c>
      <c r="G23" s="29" t="s">
        <v>359</v>
      </c>
      <c r="H23" s="8" t="s">
        <v>360</v>
      </c>
      <c r="I23" s="29" t="s">
        <v>361</v>
      </c>
      <c r="J23" s="29" t="s">
        <v>362</v>
      </c>
      <c r="K23" s="31" t="s">
        <v>363</v>
      </c>
      <c r="L23" s="8" t="s">
        <v>228</v>
      </c>
      <c r="M23" s="8" t="s">
        <v>275</v>
      </c>
      <c r="N23" s="31" t="s">
        <v>364</v>
      </c>
      <c r="O23" s="31"/>
      <c r="P23" s="17">
        <v>46292</v>
      </c>
    </row>
    <row r="24" spans="1:16" ht="57" customHeight="1">
      <c r="A24" s="9" t="s">
        <v>88</v>
      </c>
      <c r="B24" s="7" t="s">
        <v>365</v>
      </c>
      <c r="C24" s="7" t="s">
        <v>366</v>
      </c>
      <c r="D24" s="7" t="s">
        <v>367</v>
      </c>
      <c r="E24" s="7" t="s">
        <v>280</v>
      </c>
      <c r="F24" s="7" t="s">
        <v>368</v>
      </c>
      <c r="G24" s="28" t="s">
        <v>369</v>
      </c>
      <c r="H24" s="7" t="s">
        <v>370</v>
      </c>
      <c r="I24" s="28" t="s">
        <v>371</v>
      </c>
      <c r="J24" s="28"/>
      <c r="K24" s="30" t="s">
        <v>372</v>
      </c>
      <c r="L24" s="7" t="s">
        <v>373</v>
      </c>
      <c r="M24" s="7" t="s">
        <v>374</v>
      </c>
      <c r="N24" s="30" t="s">
        <v>375</v>
      </c>
      <c r="O24" s="30"/>
      <c r="P24" s="16">
        <v>46292</v>
      </c>
    </row>
    <row r="25" spans="1:16" ht="57" customHeight="1">
      <c r="A25" s="10" t="s">
        <v>91</v>
      </c>
      <c r="B25" s="8" t="s">
        <v>376</v>
      </c>
      <c r="C25" s="8" t="s">
        <v>377</v>
      </c>
      <c r="D25" s="8" t="s">
        <v>378</v>
      </c>
      <c r="E25" s="8" t="s">
        <v>210</v>
      </c>
      <c r="F25" s="8" t="s">
        <v>379</v>
      </c>
      <c r="G25" s="29" t="s">
        <v>380</v>
      </c>
      <c r="H25" s="8" t="s">
        <v>381</v>
      </c>
      <c r="I25" s="29"/>
      <c r="J25" s="29"/>
      <c r="K25" s="31" t="s">
        <v>382</v>
      </c>
      <c r="L25" s="8" t="s">
        <v>383</v>
      </c>
      <c r="M25" s="8" t="s">
        <v>384</v>
      </c>
      <c r="N25" s="31" t="s">
        <v>385</v>
      </c>
      <c r="O25" s="31" t="s">
        <v>386</v>
      </c>
      <c r="P25" s="17">
        <v>46292</v>
      </c>
    </row>
    <row r="26" spans="1:16" ht="57" customHeight="1">
      <c r="A26" s="9" t="s">
        <v>94</v>
      </c>
      <c r="B26" s="7" t="s">
        <v>387</v>
      </c>
      <c r="C26" s="7" t="s">
        <v>388</v>
      </c>
      <c r="D26" s="7" t="s">
        <v>389</v>
      </c>
      <c r="E26" s="7" t="s">
        <v>390</v>
      </c>
      <c r="F26" s="7" t="s">
        <v>391</v>
      </c>
      <c r="G26" s="28" t="s">
        <v>392</v>
      </c>
      <c r="H26" s="7" t="s">
        <v>393</v>
      </c>
      <c r="I26" s="28" t="s">
        <v>394</v>
      </c>
      <c r="J26" s="28" t="s">
        <v>395</v>
      </c>
      <c r="K26" s="30" t="s">
        <v>396</v>
      </c>
      <c r="L26" s="7" t="s">
        <v>309</v>
      </c>
      <c r="M26" s="7" t="s">
        <v>397</v>
      </c>
      <c r="N26" s="30" t="s">
        <v>398</v>
      </c>
      <c r="O26" s="30"/>
      <c r="P26" s="16">
        <v>46292</v>
      </c>
    </row>
    <row r="27" spans="1:16" ht="57" customHeight="1">
      <c r="A27" s="10" t="s">
        <v>99</v>
      </c>
      <c r="B27" s="8" t="s">
        <v>399</v>
      </c>
      <c r="C27" s="8" t="s">
        <v>400</v>
      </c>
      <c r="D27" s="8" t="s">
        <v>401</v>
      </c>
      <c r="E27" s="8" t="s">
        <v>280</v>
      </c>
      <c r="F27" s="8" t="s">
        <v>402</v>
      </c>
      <c r="G27" s="29" t="s">
        <v>403</v>
      </c>
      <c r="H27" s="8" t="s">
        <v>404</v>
      </c>
      <c r="I27" s="29" t="s">
        <v>405</v>
      </c>
      <c r="J27" s="29" t="s">
        <v>406</v>
      </c>
      <c r="K27" s="31" t="s">
        <v>407</v>
      </c>
      <c r="L27" s="8" t="s">
        <v>228</v>
      </c>
      <c r="M27" s="8" t="s">
        <v>408</v>
      </c>
      <c r="N27" s="31" t="s">
        <v>409</v>
      </c>
      <c r="O27" s="31"/>
      <c r="P27" s="17">
        <v>46292</v>
      </c>
    </row>
    <row r="28" spans="1:16" ht="57" customHeight="1">
      <c r="A28" s="9" t="s">
        <v>102</v>
      </c>
      <c r="B28" s="7" t="s">
        <v>410</v>
      </c>
      <c r="C28" s="7" t="s">
        <v>411</v>
      </c>
      <c r="D28" s="7" t="s">
        <v>412</v>
      </c>
      <c r="E28" s="7" t="s">
        <v>210</v>
      </c>
      <c r="F28" s="7" t="s">
        <v>413</v>
      </c>
      <c r="G28" s="28" t="s">
        <v>414</v>
      </c>
      <c r="H28" s="7" t="s">
        <v>415</v>
      </c>
      <c r="I28" s="28" t="s">
        <v>416</v>
      </c>
      <c r="J28" s="28" t="s">
        <v>417</v>
      </c>
      <c r="K28" s="30" t="s">
        <v>418</v>
      </c>
      <c r="L28" s="7" t="s">
        <v>228</v>
      </c>
      <c r="M28" s="7" t="s">
        <v>275</v>
      </c>
      <c r="N28" s="30" t="s">
        <v>419</v>
      </c>
      <c r="O28" s="30" t="s">
        <v>420</v>
      </c>
      <c r="P28" s="16">
        <v>46292</v>
      </c>
    </row>
    <row r="29" spans="1:16" ht="57" customHeight="1">
      <c r="A29" s="10" t="s">
        <v>105</v>
      </c>
      <c r="B29" s="8" t="s">
        <v>421</v>
      </c>
      <c r="C29" s="8" t="s">
        <v>422</v>
      </c>
      <c r="D29" s="8" t="s">
        <v>302</v>
      </c>
      <c r="E29" s="8" t="s">
        <v>210</v>
      </c>
      <c r="F29" s="8" t="s">
        <v>423</v>
      </c>
      <c r="G29" s="29" t="s">
        <v>424</v>
      </c>
      <c r="H29" s="8" t="s">
        <v>381</v>
      </c>
      <c r="I29" s="29" t="s">
        <v>425</v>
      </c>
      <c r="J29" s="29" t="s">
        <v>426</v>
      </c>
      <c r="K29" s="31" t="s">
        <v>427</v>
      </c>
      <c r="L29" s="8" t="s">
        <v>228</v>
      </c>
      <c r="M29" s="8" t="s">
        <v>275</v>
      </c>
      <c r="N29" s="31" t="s">
        <v>428</v>
      </c>
      <c r="O29" s="31" t="s">
        <v>429</v>
      </c>
      <c r="P29" s="17">
        <v>46292</v>
      </c>
    </row>
    <row r="30" spans="1:16" ht="57" customHeight="1">
      <c r="A30" s="9" t="s">
        <v>108</v>
      </c>
      <c r="B30" s="7" t="s">
        <v>430</v>
      </c>
      <c r="C30" s="7" t="s">
        <v>431</v>
      </c>
      <c r="D30" s="7" t="s">
        <v>432</v>
      </c>
      <c r="E30" s="7" t="s">
        <v>210</v>
      </c>
      <c r="F30" s="7" t="s">
        <v>433</v>
      </c>
      <c r="G30" s="28" t="s">
        <v>434</v>
      </c>
      <c r="H30" s="7" t="s">
        <v>435</v>
      </c>
      <c r="I30" s="28" t="s">
        <v>436</v>
      </c>
      <c r="J30" s="28" t="s">
        <v>437</v>
      </c>
      <c r="K30" s="30" t="s">
        <v>438</v>
      </c>
      <c r="L30" s="7" t="s">
        <v>439</v>
      </c>
      <c r="M30" s="7" t="s">
        <v>440</v>
      </c>
      <c r="N30" s="30" t="s">
        <v>441</v>
      </c>
      <c r="O30" s="30"/>
      <c r="P30" s="16">
        <v>46292</v>
      </c>
    </row>
    <row r="31" spans="1:16" ht="57" customHeight="1">
      <c r="A31" s="10" t="s">
        <v>113</v>
      </c>
      <c r="B31" s="8" t="s">
        <v>442</v>
      </c>
      <c r="C31" s="8" t="s">
        <v>443</v>
      </c>
      <c r="D31" s="8" t="s">
        <v>209</v>
      </c>
      <c r="E31" s="8" t="s">
        <v>210</v>
      </c>
      <c r="F31" s="8" t="s">
        <v>444</v>
      </c>
      <c r="G31" s="29" t="s">
        <v>445</v>
      </c>
      <c r="H31" s="8" t="s">
        <v>446</v>
      </c>
      <c r="I31" s="29" t="s">
        <v>447</v>
      </c>
      <c r="J31" s="29" t="s">
        <v>448</v>
      </c>
      <c r="K31" s="31" t="s">
        <v>449</v>
      </c>
      <c r="L31" s="8" t="s">
        <v>450</v>
      </c>
      <c r="M31" s="8" t="s">
        <v>451</v>
      </c>
      <c r="N31" s="31" t="s">
        <v>452</v>
      </c>
      <c r="O31" s="31"/>
      <c r="P31" s="17">
        <v>46292</v>
      </c>
    </row>
    <row r="32" spans="1:16" ht="57" customHeight="1">
      <c r="A32" s="9" t="s">
        <v>119</v>
      </c>
      <c r="B32" s="7" t="s">
        <v>118</v>
      </c>
      <c r="C32" s="7" t="s">
        <v>453</v>
      </c>
      <c r="D32" s="7" t="s">
        <v>209</v>
      </c>
      <c r="E32" s="7" t="s">
        <v>390</v>
      </c>
      <c r="F32" s="7" t="s">
        <v>454</v>
      </c>
      <c r="G32" s="28" t="s">
        <v>455</v>
      </c>
      <c r="H32" s="7" t="s">
        <v>456</v>
      </c>
      <c r="I32" s="28" t="s">
        <v>457</v>
      </c>
      <c r="J32" s="28" t="s">
        <v>458</v>
      </c>
      <c r="K32" s="30" t="s">
        <v>459</v>
      </c>
      <c r="L32" s="7" t="s">
        <v>460</v>
      </c>
      <c r="M32" s="7" t="s">
        <v>461</v>
      </c>
      <c r="N32" s="30" t="s">
        <v>462</v>
      </c>
      <c r="O32" s="30"/>
      <c r="P32" s="16">
        <v>46292</v>
      </c>
    </row>
    <row r="33" spans="1:16" ht="57" customHeight="1">
      <c r="A33" s="10" t="s">
        <v>126</v>
      </c>
      <c r="B33" s="8" t="s">
        <v>463</v>
      </c>
      <c r="C33" s="8" t="s">
        <v>464</v>
      </c>
      <c r="D33" s="8" t="s">
        <v>209</v>
      </c>
      <c r="E33" s="8" t="s">
        <v>210</v>
      </c>
      <c r="F33" s="8" t="s">
        <v>465</v>
      </c>
      <c r="G33" s="29" t="s">
        <v>466</v>
      </c>
      <c r="H33" s="8" t="s">
        <v>467</v>
      </c>
      <c r="I33" s="29" t="s">
        <v>468</v>
      </c>
      <c r="J33" s="29" t="s">
        <v>469</v>
      </c>
      <c r="K33" s="31" t="s">
        <v>470</v>
      </c>
      <c r="L33" s="8" t="s">
        <v>228</v>
      </c>
      <c r="M33" s="8" t="s">
        <v>275</v>
      </c>
      <c r="N33" s="31" t="s">
        <v>471</v>
      </c>
      <c r="O33" s="31"/>
      <c r="P33" s="17">
        <v>46292</v>
      </c>
    </row>
    <row r="34" spans="1:16" ht="57" customHeight="1">
      <c r="A34" s="9" t="s">
        <v>129</v>
      </c>
      <c r="B34" s="7" t="s">
        <v>128</v>
      </c>
      <c r="C34" s="7" t="s">
        <v>472</v>
      </c>
      <c r="D34" s="7" t="s">
        <v>209</v>
      </c>
      <c r="E34" s="7" t="s">
        <v>210</v>
      </c>
      <c r="F34" s="7" t="s">
        <v>473</v>
      </c>
      <c r="G34" s="28" t="s">
        <v>474</v>
      </c>
      <c r="H34" s="7" t="s">
        <v>475</v>
      </c>
      <c r="I34" s="28" t="s">
        <v>476</v>
      </c>
      <c r="J34" s="28" t="s">
        <v>477</v>
      </c>
      <c r="K34" s="30" t="s">
        <v>478</v>
      </c>
      <c r="L34" s="7" t="s">
        <v>309</v>
      </c>
      <c r="M34" s="7" t="s">
        <v>479</v>
      </c>
      <c r="N34" s="30" t="s">
        <v>480</v>
      </c>
      <c r="O34" s="30"/>
      <c r="P34" s="16">
        <v>46292</v>
      </c>
    </row>
    <row r="35" spans="1:16" ht="57" customHeight="1">
      <c r="A35" s="10" t="s">
        <v>135</v>
      </c>
      <c r="B35" s="8" t="s">
        <v>481</v>
      </c>
      <c r="C35" s="8" t="s">
        <v>481</v>
      </c>
      <c r="D35" s="8" t="s">
        <v>209</v>
      </c>
      <c r="E35" s="8" t="s">
        <v>390</v>
      </c>
      <c r="F35" s="8" t="s">
        <v>482</v>
      </c>
      <c r="G35" s="29" t="s">
        <v>483</v>
      </c>
      <c r="H35" s="8" t="s">
        <v>484</v>
      </c>
      <c r="I35" s="29"/>
      <c r="J35" s="29" t="s">
        <v>485</v>
      </c>
      <c r="K35" s="31" t="s">
        <v>486</v>
      </c>
      <c r="L35" s="8" t="s">
        <v>373</v>
      </c>
      <c r="M35" s="8" t="s">
        <v>487</v>
      </c>
      <c r="N35" s="31" t="s">
        <v>488</v>
      </c>
      <c r="O35" s="31"/>
      <c r="P35" s="17">
        <v>46292</v>
      </c>
    </row>
    <row r="36" spans="1:16" ht="57" customHeight="1">
      <c r="A36" s="9" t="s">
        <v>140</v>
      </c>
      <c r="B36" s="7" t="s">
        <v>489</v>
      </c>
      <c r="C36" s="7" t="s">
        <v>490</v>
      </c>
      <c r="D36" s="7" t="s">
        <v>234</v>
      </c>
      <c r="E36" s="7" t="s">
        <v>210</v>
      </c>
      <c r="F36" s="7" t="s">
        <v>491</v>
      </c>
      <c r="G36" s="28" t="s">
        <v>492</v>
      </c>
      <c r="H36" s="7" t="s">
        <v>493</v>
      </c>
      <c r="I36" s="28" t="s">
        <v>494</v>
      </c>
      <c r="J36" s="28" t="s">
        <v>495</v>
      </c>
      <c r="K36" s="30" t="s">
        <v>496</v>
      </c>
      <c r="L36" s="7" t="s">
        <v>228</v>
      </c>
      <c r="M36" s="7" t="s">
        <v>275</v>
      </c>
      <c r="N36" s="30" t="s">
        <v>497</v>
      </c>
      <c r="O36" s="30"/>
      <c r="P36" s="16">
        <v>46292</v>
      </c>
    </row>
    <row r="37" spans="1:16" ht="57" customHeight="1">
      <c r="A37" s="10" t="s">
        <v>143</v>
      </c>
      <c r="B37" s="8" t="s">
        <v>498</v>
      </c>
      <c r="C37" s="8" t="s">
        <v>499</v>
      </c>
      <c r="D37" s="8" t="s">
        <v>209</v>
      </c>
      <c r="E37" s="8" t="s">
        <v>210</v>
      </c>
      <c r="F37" s="8" t="s">
        <v>500</v>
      </c>
      <c r="G37" s="29" t="s">
        <v>501</v>
      </c>
      <c r="H37" s="8" t="s">
        <v>213</v>
      </c>
      <c r="I37" s="29" t="s">
        <v>502</v>
      </c>
      <c r="J37" s="29"/>
      <c r="K37" s="31" t="s">
        <v>503</v>
      </c>
      <c r="L37" s="8" t="s">
        <v>342</v>
      </c>
      <c r="M37" s="8" t="s">
        <v>504</v>
      </c>
      <c r="N37" s="31" t="s">
        <v>505</v>
      </c>
      <c r="O37" s="31"/>
      <c r="P37" s="17">
        <v>46292</v>
      </c>
    </row>
    <row r="38" spans="1:16" ht="57" customHeight="1">
      <c r="A38" s="9" t="s">
        <v>148</v>
      </c>
      <c r="B38" s="7" t="s">
        <v>506</v>
      </c>
      <c r="C38" s="7" t="s">
        <v>507</v>
      </c>
      <c r="D38" s="7" t="s">
        <v>432</v>
      </c>
      <c r="E38" s="7" t="s">
        <v>210</v>
      </c>
      <c r="F38" s="7" t="s">
        <v>508</v>
      </c>
      <c r="G38" s="28" t="s">
        <v>509</v>
      </c>
      <c r="H38" s="7" t="s">
        <v>510</v>
      </c>
      <c r="I38" s="28" t="s">
        <v>511</v>
      </c>
      <c r="J38" s="28" t="s">
        <v>512</v>
      </c>
      <c r="K38" s="30" t="s">
        <v>513</v>
      </c>
      <c r="L38" s="7" t="s">
        <v>309</v>
      </c>
      <c r="M38" s="7" t="s">
        <v>514</v>
      </c>
      <c r="N38" s="30" t="s">
        <v>515</v>
      </c>
      <c r="O38" s="30"/>
      <c r="P38" s="16">
        <v>46292</v>
      </c>
    </row>
    <row r="39" spans="1:16" ht="57" customHeight="1">
      <c r="A39" s="10" t="s">
        <v>153</v>
      </c>
      <c r="B39" s="8" t="s">
        <v>516</v>
      </c>
      <c r="C39" s="8" t="s">
        <v>517</v>
      </c>
      <c r="D39" s="8" t="s">
        <v>518</v>
      </c>
      <c r="E39" s="8" t="s">
        <v>210</v>
      </c>
      <c r="F39" s="8" t="s">
        <v>519</v>
      </c>
      <c r="G39" s="29" t="s">
        <v>520</v>
      </c>
      <c r="H39" s="8" t="s">
        <v>521</v>
      </c>
      <c r="I39" s="29" t="s">
        <v>522</v>
      </c>
      <c r="J39" s="29" t="s">
        <v>523</v>
      </c>
      <c r="K39" s="31" t="s">
        <v>524</v>
      </c>
      <c r="L39" s="8" t="s">
        <v>309</v>
      </c>
      <c r="M39" s="8" t="s">
        <v>525</v>
      </c>
      <c r="N39" s="31" t="s">
        <v>526</v>
      </c>
      <c r="O39" s="31"/>
      <c r="P39" s="17">
        <v>46292</v>
      </c>
    </row>
    <row r="40" spans="1:16" ht="57" customHeight="1">
      <c r="A40" s="9" t="s">
        <v>162</v>
      </c>
      <c r="B40" s="7" t="s">
        <v>161</v>
      </c>
      <c r="C40" s="7" t="s">
        <v>527</v>
      </c>
      <c r="D40" s="7" t="s">
        <v>528</v>
      </c>
      <c r="E40" s="7" t="s">
        <v>210</v>
      </c>
      <c r="F40" s="7" t="s">
        <v>529</v>
      </c>
      <c r="G40" s="28" t="s">
        <v>530</v>
      </c>
      <c r="H40" s="7" t="s">
        <v>531</v>
      </c>
      <c r="I40" s="28" t="s">
        <v>532</v>
      </c>
      <c r="J40" s="28" t="s">
        <v>533</v>
      </c>
      <c r="K40" s="30" t="s">
        <v>534</v>
      </c>
      <c r="L40" s="7" t="s">
        <v>252</v>
      </c>
      <c r="M40" s="7" t="s">
        <v>535</v>
      </c>
      <c r="N40" s="30" t="s">
        <v>536</v>
      </c>
      <c r="O40" s="30"/>
      <c r="P40" s="16">
        <v>46292</v>
      </c>
    </row>
    <row r="41" spans="1:16" ht="57" customHeight="1">
      <c r="A41" s="10" t="s">
        <v>168</v>
      </c>
      <c r="B41" s="8" t="s">
        <v>167</v>
      </c>
      <c r="C41" s="8" t="s">
        <v>537</v>
      </c>
      <c r="D41" s="8" t="s">
        <v>528</v>
      </c>
      <c r="E41" s="8" t="s">
        <v>210</v>
      </c>
      <c r="F41" s="8" t="s">
        <v>538</v>
      </c>
      <c r="G41" s="29" t="s">
        <v>539</v>
      </c>
      <c r="H41" s="8" t="s">
        <v>531</v>
      </c>
      <c r="I41" s="29" t="s">
        <v>540</v>
      </c>
      <c r="J41" s="29" t="s">
        <v>541</v>
      </c>
      <c r="K41" s="31" t="s">
        <v>542</v>
      </c>
      <c r="L41" s="8" t="s">
        <v>228</v>
      </c>
      <c r="M41" s="8" t="s">
        <v>543</v>
      </c>
      <c r="N41" s="31" t="s">
        <v>544</v>
      </c>
      <c r="O41" s="31"/>
      <c r="P41" s="17">
        <v>46292</v>
      </c>
    </row>
    <row r="42" spans="1:16" ht="57" customHeight="1">
      <c r="A42" s="9" t="s">
        <v>173</v>
      </c>
      <c r="B42" s="7" t="s">
        <v>172</v>
      </c>
      <c r="C42" s="7" t="s">
        <v>545</v>
      </c>
      <c r="D42" s="7" t="s">
        <v>234</v>
      </c>
      <c r="E42" s="7" t="s">
        <v>210</v>
      </c>
      <c r="F42" s="7" t="s">
        <v>546</v>
      </c>
      <c r="G42" s="28" t="s">
        <v>547</v>
      </c>
      <c r="H42" s="7" t="s">
        <v>531</v>
      </c>
      <c r="I42" s="28" t="s">
        <v>548</v>
      </c>
      <c r="J42" s="28" t="s">
        <v>549</v>
      </c>
      <c r="K42" s="30" t="s">
        <v>550</v>
      </c>
      <c r="L42" s="7" t="s">
        <v>551</v>
      </c>
      <c r="M42" s="7" t="s">
        <v>552</v>
      </c>
      <c r="N42" s="30" t="s">
        <v>553</v>
      </c>
      <c r="O42" s="30"/>
      <c r="P42" s="16">
        <v>46292</v>
      </c>
    </row>
    <row r="43" spans="1:16" ht="57" customHeight="1">
      <c r="A43" s="10" t="s">
        <v>178</v>
      </c>
      <c r="B43" s="8" t="s">
        <v>177</v>
      </c>
      <c r="C43" s="8" t="s">
        <v>554</v>
      </c>
      <c r="D43" s="8" t="s">
        <v>555</v>
      </c>
      <c r="E43" s="8" t="s">
        <v>210</v>
      </c>
      <c r="F43" s="8" t="s">
        <v>556</v>
      </c>
      <c r="G43" s="29" t="s">
        <v>557</v>
      </c>
      <c r="H43" s="8" t="s">
        <v>558</v>
      </c>
      <c r="I43" s="29" t="s">
        <v>559</v>
      </c>
      <c r="J43" s="29" t="s">
        <v>560</v>
      </c>
      <c r="K43" s="31" t="s">
        <v>561</v>
      </c>
      <c r="L43" s="8" t="s">
        <v>450</v>
      </c>
      <c r="M43" s="8" t="s">
        <v>562</v>
      </c>
      <c r="N43" s="31" t="s">
        <v>563</v>
      </c>
      <c r="O43" s="31"/>
      <c r="P43" s="17">
        <v>46292</v>
      </c>
    </row>
    <row r="44" spans="1:16" ht="57" customHeight="1">
      <c r="A44" s="9" t="s">
        <v>183</v>
      </c>
      <c r="B44" s="7" t="s">
        <v>182</v>
      </c>
      <c r="C44" s="7"/>
      <c r="D44" s="7" t="s">
        <v>61</v>
      </c>
      <c r="E44" s="7"/>
      <c r="F44" s="7"/>
      <c r="G44" s="28"/>
      <c r="H44" s="7"/>
      <c r="I44" s="28"/>
      <c r="J44" s="28"/>
      <c r="K44" s="30"/>
      <c r="L44" s="7" t="s">
        <v>564</v>
      </c>
      <c r="M44" s="7" t="s">
        <v>565</v>
      </c>
      <c r="N44" s="30"/>
      <c r="O44" s="30"/>
      <c r="P44" s="16">
        <v>46292</v>
      </c>
    </row>
  </sheetData>
  <conditionalFormatting sqref="L10:L44">
    <cfRule type="notContainsText" dxfId="3" priority="1" operator="notContains" text="Öffentlich ergänzt"/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67057"/>
  </sheetPr>
  <dimension ref="A1:M60"/>
  <sheetViews>
    <sheetView showGridLines="0" workbookViewId="0">
      <pane xSplit="2" ySplit="9" topLeftCell="C10" activePane="bottomRight" state="frozen"/>
      <selection pane="bottomRight" activeCell="C10" sqref="C10"/>
      <selection pane="bottomLeft"/>
      <selection pane="topRight"/>
    </sheetView>
  </sheetViews>
  <sheetFormatPr defaultColWidth="8.875" defaultRowHeight="14.1"/>
  <cols>
    <col min="1" max="2" width="12" customWidth="1"/>
    <col min="3" max="3" width="29" customWidth="1"/>
    <col min="4" max="4" width="34" customWidth="1"/>
    <col min="5" max="5" width="33" customWidth="1"/>
    <col min="6" max="6" width="48" customWidth="1"/>
    <col min="7" max="8" width="26" customWidth="1"/>
    <col min="9" max="9" width="19" customWidth="1"/>
    <col min="10" max="10" width="29" customWidth="1"/>
    <col min="11" max="11" width="82" customWidth="1"/>
    <col min="12" max="12" width="69" customWidth="1"/>
    <col min="13" max="13" width="14" customWidth="1"/>
  </cols>
  <sheetData>
    <row r="1" spans="1:13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950000000000003" customHeight="1">
      <c r="A2" s="1"/>
      <c r="B2" s="1"/>
      <c r="C2" s="2" t="s">
        <v>566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</row>
    <row r="4" spans="1:13" ht="23.1" customHeight="1">
      <c r="A4" s="14" t="s">
        <v>567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3.1" customHeight="1">
      <c r="A5" s="14" t="s">
        <v>568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3.1" customHeight="1">
      <c r="A6" s="14" t="s">
        <v>569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3.1" customHeight="1">
      <c r="A7" s="14" t="s">
        <v>570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3.1" customHeight="1">
      <c r="A8" s="15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3.950000000000003" customHeight="1">
      <c r="A9" s="4" t="s">
        <v>571</v>
      </c>
      <c r="B9" s="5" t="s">
        <v>12</v>
      </c>
      <c r="C9" s="5" t="s">
        <v>572</v>
      </c>
      <c r="D9" s="5" t="s">
        <v>573</v>
      </c>
      <c r="E9" s="5" t="s">
        <v>574</v>
      </c>
      <c r="F9" s="5" t="s">
        <v>575</v>
      </c>
      <c r="G9" s="5" t="s">
        <v>576</v>
      </c>
      <c r="H9" s="5" t="s">
        <v>577</v>
      </c>
      <c r="I9" s="5" t="s">
        <v>578</v>
      </c>
      <c r="J9" s="5" t="s">
        <v>579</v>
      </c>
      <c r="K9" s="5" t="s">
        <v>580</v>
      </c>
      <c r="L9" s="5" t="s">
        <v>581</v>
      </c>
      <c r="M9" s="6" t="s">
        <v>25</v>
      </c>
    </row>
    <row r="10" spans="1:13" ht="57" customHeight="1">
      <c r="A10" s="9" t="s">
        <v>582</v>
      </c>
      <c r="B10" s="7" t="s">
        <v>28</v>
      </c>
      <c r="C10" s="7" t="s">
        <v>207</v>
      </c>
      <c r="D10" s="7" t="s">
        <v>583</v>
      </c>
      <c r="E10" s="7"/>
      <c r="F10" s="28" t="s">
        <v>215</v>
      </c>
      <c r="G10" s="28"/>
      <c r="H10" s="28"/>
      <c r="I10" s="7" t="s">
        <v>26</v>
      </c>
      <c r="J10" s="7" t="s">
        <v>584</v>
      </c>
      <c r="K10" s="7" t="s">
        <v>585</v>
      </c>
      <c r="L10" s="7" t="s">
        <v>586</v>
      </c>
      <c r="M10" s="7">
        <v>3</v>
      </c>
    </row>
    <row r="11" spans="1:13" ht="57" customHeight="1">
      <c r="A11" s="10" t="s">
        <v>587</v>
      </c>
      <c r="B11" s="8" t="s">
        <v>36</v>
      </c>
      <c r="C11" s="8" t="s">
        <v>220</v>
      </c>
      <c r="D11" s="8" t="s">
        <v>588</v>
      </c>
      <c r="E11" s="8"/>
      <c r="F11" s="29" t="s">
        <v>589</v>
      </c>
      <c r="G11" s="29"/>
      <c r="H11" s="29"/>
      <c r="I11" s="8" t="s">
        <v>34</v>
      </c>
      <c r="J11" s="8" t="s">
        <v>584</v>
      </c>
      <c r="K11" s="8" t="s">
        <v>585</v>
      </c>
      <c r="L11" s="8" t="s">
        <v>590</v>
      </c>
      <c r="M11" s="8">
        <v>4</v>
      </c>
    </row>
    <row r="12" spans="1:13" ht="57" customHeight="1">
      <c r="A12" s="9" t="s">
        <v>591</v>
      </c>
      <c r="B12" s="7" t="s">
        <v>40</v>
      </c>
      <c r="C12" s="7" t="s">
        <v>232</v>
      </c>
      <c r="D12" s="7" t="s">
        <v>592</v>
      </c>
      <c r="E12" s="7"/>
      <c r="F12" s="28" t="s">
        <v>593</v>
      </c>
      <c r="G12" s="28"/>
      <c r="H12" s="28"/>
      <c r="I12" s="7" t="s">
        <v>38</v>
      </c>
      <c r="J12" s="7" t="s">
        <v>584</v>
      </c>
      <c r="K12" s="7" t="s">
        <v>585</v>
      </c>
      <c r="L12" s="7" t="s">
        <v>594</v>
      </c>
      <c r="M12" s="7">
        <v>5</v>
      </c>
    </row>
    <row r="13" spans="1:13" ht="57" customHeight="1">
      <c r="A13" s="10" t="s">
        <v>595</v>
      </c>
      <c r="B13" s="8" t="s">
        <v>44</v>
      </c>
      <c r="C13" s="8" t="s">
        <v>243</v>
      </c>
      <c r="D13" s="8" t="s">
        <v>596</v>
      </c>
      <c r="E13" s="8"/>
      <c r="F13" s="29" t="s">
        <v>597</v>
      </c>
      <c r="G13" s="29"/>
      <c r="H13" s="29"/>
      <c r="I13" s="8" t="s">
        <v>42</v>
      </c>
      <c r="J13" s="8" t="s">
        <v>584</v>
      </c>
      <c r="K13" s="8" t="s">
        <v>585</v>
      </c>
      <c r="L13" s="8" t="s">
        <v>598</v>
      </c>
      <c r="M13" s="8">
        <v>6</v>
      </c>
    </row>
    <row r="14" spans="1:13" ht="57" customHeight="1">
      <c r="A14" s="9" t="s">
        <v>599</v>
      </c>
      <c r="B14" s="7" t="s">
        <v>48</v>
      </c>
      <c r="C14" s="7" t="s">
        <v>255</v>
      </c>
      <c r="D14" s="7" t="s">
        <v>600</v>
      </c>
      <c r="E14" s="7"/>
      <c r="F14" s="28" t="s">
        <v>601</v>
      </c>
      <c r="G14" s="28"/>
      <c r="H14" s="28"/>
      <c r="I14" s="7" t="s">
        <v>46</v>
      </c>
      <c r="J14" s="7" t="s">
        <v>383</v>
      </c>
      <c r="K14" s="7" t="s">
        <v>602</v>
      </c>
      <c r="L14" s="7" t="s">
        <v>603</v>
      </c>
      <c r="M14" s="7">
        <v>7</v>
      </c>
    </row>
    <row r="15" spans="1:13" ht="57" customHeight="1">
      <c r="A15" s="10" t="s">
        <v>604</v>
      </c>
      <c r="B15" s="8" t="s">
        <v>53</v>
      </c>
      <c r="C15" s="8" t="s">
        <v>268</v>
      </c>
      <c r="D15" s="8" t="s">
        <v>605</v>
      </c>
      <c r="E15" s="8"/>
      <c r="F15" s="29" t="s">
        <v>606</v>
      </c>
      <c r="G15" s="29"/>
      <c r="H15" s="29"/>
      <c r="I15" s="8" t="s">
        <v>51</v>
      </c>
      <c r="J15" s="8" t="s">
        <v>584</v>
      </c>
      <c r="K15" s="8" t="s">
        <v>585</v>
      </c>
      <c r="L15" s="8" t="s">
        <v>607</v>
      </c>
      <c r="M15" s="8">
        <v>8</v>
      </c>
    </row>
    <row r="16" spans="1:13" ht="57" customHeight="1">
      <c r="A16" s="9" t="s">
        <v>608</v>
      </c>
      <c r="B16" s="7" t="s">
        <v>57</v>
      </c>
      <c r="C16" s="7" t="s">
        <v>277</v>
      </c>
      <c r="D16" s="7" t="s">
        <v>609</v>
      </c>
      <c r="E16" s="7"/>
      <c r="F16" s="28" t="s">
        <v>610</v>
      </c>
      <c r="G16" s="28"/>
      <c r="H16" s="28"/>
      <c r="I16" s="7" t="s">
        <v>55</v>
      </c>
      <c r="J16" s="7" t="s">
        <v>584</v>
      </c>
      <c r="K16" s="7" t="s">
        <v>585</v>
      </c>
      <c r="L16" s="7" t="s">
        <v>611</v>
      </c>
      <c r="M16" s="7">
        <v>9</v>
      </c>
    </row>
    <row r="17" spans="1:13" ht="57" customHeight="1">
      <c r="A17" s="10" t="s">
        <v>612</v>
      </c>
      <c r="B17" s="8" t="s">
        <v>60</v>
      </c>
      <c r="C17" s="8" t="s">
        <v>290</v>
      </c>
      <c r="D17" s="8" t="s">
        <v>613</v>
      </c>
      <c r="E17" s="8"/>
      <c r="F17" s="29" t="s">
        <v>614</v>
      </c>
      <c r="G17" s="29"/>
      <c r="H17" s="29"/>
      <c r="I17" s="8" t="s">
        <v>58</v>
      </c>
      <c r="J17" s="8" t="s">
        <v>584</v>
      </c>
      <c r="K17" s="8" t="s">
        <v>585</v>
      </c>
      <c r="L17" s="8" t="s">
        <v>615</v>
      </c>
      <c r="M17" s="8">
        <v>10</v>
      </c>
    </row>
    <row r="18" spans="1:13" ht="57" customHeight="1">
      <c r="A18" s="9" t="s">
        <v>616</v>
      </c>
      <c r="B18" s="7" t="s">
        <v>60</v>
      </c>
      <c r="C18" s="7" t="s">
        <v>290</v>
      </c>
      <c r="D18" s="7" t="s">
        <v>617</v>
      </c>
      <c r="E18" s="7"/>
      <c r="F18" s="28" t="s">
        <v>618</v>
      </c>
      <c r="G18" s="28"/>
      <c r="H18" s="28"/>
      <c r="I18" s="7" t="s">
        <v>58</v>
      </c>
      <c r="J18" s="7" t="s">
        <v>584</v>
      </c>
      <c r="K18" s="7" t="s">
        <v>585</v>
      </c>
      <c r="L18" s="7" t="s">
        <v>615</v>
      </c>
      <c r="M18" s="7">
        <v>10</v>
      </c>
    </row>
    <row r="19" spans="1:13" ht="57" customHeight="1">
      <c r="A19" s="10" t="s">
        <v>619</v>
      </c>
      <c r="B19" s="8" t="s">
        <v>66</v>
      </c>
      <c r="C19" s="8" t="s">
        <v>300</v>
      </c>
      <c r="D19" s="8" t="s">
        <v>620</v>
      </c>
      <c r="E19" s="8" t="s">
        <v>621</v>
      </c>
      <c r="F19" s="29"/>
      <c r="G19" s="29"/>
      <c r="H19" s="29"/>
      <c r="I19" s="8" t="s">
        <v>64</v>
      </c>
      <c r="J19" s="8" t="s">
        <v>622</v>
      </c>
      <c r="K19" s="8" t="s">
        <v>623</v>
      </c>
      <c r="L19" s="8" t="s">
        <v>624</v>
      </c>
      <c r="M19" s="8">
        <v>11</v>
      </c>
    </row>
    <row r="20" spans="1:13" ht="57" customHeight="1">
      <c r="A20" s="9" t="s">
        <v>625</v>
      </c>
      <c r="B20" s="7" t="s">
        <v>71</v>
      </c>
      <c r="C20" s="7" t="s">
        <v>312</v>
      </c>
      <c r="D20" s="7" t="s">
        <v>626</v>
      </c>
      <c r="E20" s="7"/>
      <c r="F20" s="28" t="s">
        <v>627</v>
      </c>
      <c r="G20" s="28"/>
      <c r="H20" s="28"/>
      <c r="I20" s="7" t="s">
        <v>69</v>
      </c>
      <c r="J20" s="7" t="s">
        <v>584</v>
      </c>
      <c r="K20" s="7" t="s">
        <v>585</v>
      </c>
      <c r="L20" s="7" t="s">
        <v>628</v>
      </c>
      <c r="M20" s="7">
        <v>12</v>
      </c>
    </row>
    <row r="21" spans="1:13" ht="57" customHeight="1">
      <c r="A21" s="10" t="s">
        <v>629</v>
      </c>
      <c r="B21" s="8" t="s">
        <v>74</v>
      </c>
      <c r="C21" s="8" t="s">
        <v>322</v>
      </c>
      <c r="D21" s="8" t="s">
        <v>630</v>
      </c>
      <c r="E21" s="8"/>
      <c r="F21" s="29" t="s">
        <v>631</v>
      </c>
      <c r="G21" s="29"/>
      <c r="H21" s="29"/>
      <c r="I21" s="8" t="s">
        <v>72</v>
      </c>
      <c r="J21" s="8" t="s">
        <v>584</v>
      </c>
      <c r="K21" s="8" t="s">
        <v>585</v>
      </c>
      <c r="L21" s="8" t="s">
        <v>632</v>
      </c>
      <c r="M21" s="8">
        <v>13</v>
      </c>
    </row>
    <row r="22" spans="1:13" ht="57" customHeight="1">
      <c r="A22" s="9" t="s">
        <v>633</v>
      </c>
      <c r="B22" s="7" t="s">
        <v>74</v>
      </c>
      <c r="C22" s="7" t="s">
        <v>322</v>
      </c>
      <c r="D22" s="7" t="s">
        <v>634</v>
      </c>
      <c r="E22" s="7"/>
      <c r="F22" s="28" t="s">
        <v>635</v>
      </c>
      <c r="G22" s="28"/>
      <c r="H22" s="28"/>
      <c r="I22" s="7" t="s">
        <v>72</v>
      </c>
      <c r="J22" s="7" t="s">
        <v>584</v>
      </c>
      <c r="K22" s="7" t="s">
        <v>585</v>
      </c>
      <c r="L22" s="7" t="s">
        <v>632</v>
      </c>
      <c r="M22" s="7">
        <v>13</v>
      </c>
    </row>
    <row r="23" spans="1:13" ht="57" customHeight="1">
      <c r="A23" s="10" t="s">
        <v>636</v>
      </c>
      <c r="B23" s="8" t="s">
        <v>74</v>
      </c>
      <c r="C23" s="8" t="s">
        <v>322</v>
      </c>
      <c r="D23" s="8" t="s">
        <v>637</v>
      </c>
      <c r="E23" s="8"/>
      <c r="F23" s="29" t="s">
        <v>638</v>
      </c>
      <c r="G23" s="29"/>
      <c r="H23" s="29"/>
      <c r="I23" s="8" t="s">
        <v>72</v>
      </c>
      <c r="J23" s="8" t="s">
        <v>584</v>
      </c>
      <c r="K23" s="8" t="s">
        <v>585</v>
      </c>
      <c r="L23" s="8" t="s">
        <v>632</v>
      </c>
      <c r="M23" s="8">
        <v>13</v>
      </c>
    </row>
    <row r="24" spans="1:13" ht="57" customHeight="1">
      <c r="A24" s="9" t="s">
        <v>639</v>
      </c>
      <c r="B24" s="7" t="s">
        <v>77</v>
      </c>
      <c r="C24" s="7" t="s">
        <v>333</v>
      </c>
      <c r="D24" s="7" t="s">
        <v>640</v>
      </c>
      <c r="E24" s="7"/>
      <c r="F24" s="28" t="s">
        <v>641</v>
      </c>
      <c r="G24" s="28"/>
      <c r="H24" s="28"/>
      <c r="I24" s="7" t="s">
        <v>75</v>
      </c>
      <c r="J24" s="7" t="s">
        <v>342</v>
      </c>
      <c r="K24" s="7" t="s">
        <v>642</v>
      </c>
      <c r="L24" s="7" t="s">
        <v>643</v>
      </c>
      <c r="M24" s="7">
        <v>14</v>
      </c>
    </row>
    <row r="25" spans="1:13" ht="57" customHeight="1">
      <c r="A25" s="10" t="s">
        <v>644</v>
      </c>
      <c r="B25" s="8" t="s">
        <v>77</v>
      </c>
      <c r="C25" s="8" t="s">
        <v>333</v>
      </c>
      <c r="D25" s="8" t="s">
        <v>645</v>
      </c>
      <c r="E25" s="8"/>
      <c r="F25" s="29"/>
      <c r="G25" s="29"/>
      <c r="H25" s="29"/>
      <c r="I25" s="8" t="s">
        <v>75</v>
      </c>
      <c r="J25" s="8" t="s">
        <v>342</v>
      </c>
      <c r="K25" s="8" t="s">
        <v>642</v>
      </c>
      <c r="L25" s="8" t="s">
        <v>643</v>
      </c>
      <c r="M25" s="8">
        <v>14</v>
      </c>
    </row>
    <row r="26" spans="1:13" ht="57" customHeight="1">
      <c r="A26" s="9" t="s">
        <v>646</v>
      </c>
      <c r="B26" s="7" t="s">
        <v>82</v>
      </c>
      <c r="C26" s="7" t="s">
        <v>345</v>
      </c>
      <c r="D26" s="7" t="s">
        <v>647</v>
      </c>
      <c r="E26" s="7"/>
      <c r="F26" s="28"/>
      <c r="G26" s="28"/>
      <c r="H26" s="28"/>
      <c r="I26" s="7" t="s">
        <v>80</v>
      </c>
      <c r="J26" s="7" t="s">
        <v>584</v>
      </c>
      <c r="K26" s="7" t="s">
        <v>648</v>
      </c>
      <c r="L26" s="7" t="s">
        <v>649</v>
      </c>
      <c r="M26" s="7">
        <v>15</v>
      </c>
    </row>
    <row r="27" spans="1:13" ht="57" customHeight="1">
      <c r="A27" s="10" t="s">
        <v>650</v>
      </c>
      <c r="B27" s="8" t="s">
        <v>82</v>
      </c>
      <c r="C27" s="8" t="s">
        <v>345</v>
      </c>
      <c r="D27" s="8" t="s">
        <v>651</v>
      </c>
      <c r="E27" s="8"/>
      <c r="F27" s="29"/>
      <c r="G27" s="29"/>
      <c r="H27" s="29"/>
      <c r="I27" s="8" t="s">
        <v>80</v>
      </c>
      <c r="J27" s="8" t="s">
        <v>584</v>
      </c>
      <c r="K27" s="8" t="s">
        <v>648</v>
      </c>
      <c r="L27" s="8" t="s">
        <v>649</v>
      </c>
      <c r="M27" s="8">
        <v>15</v>
      </c>
    </row>
    <row r="28" spans="1:13" ht="57" customHeight="1">
      <c r="A28" s="9" t="s">
        <v>652</v>
      </c>
      <c r="B28" s="7" t="s">
        <v>82</v>
      </c>
      <c r="C28" s="7" t="s">
        <v>345</v>
      </c>
      <c r="D28" s="7" t="s">
        <v>653</v>
      </c>
      <c r="E28" s="7"/>
      <c r="F28" s="28"/>
      <c r="G28" s="28"/>
      <c r="H28" s="28"/>
      <c r="I28" s="7" t="s">
        <v>80</v>
      </c>
      <c r="J28" s="7" t="s">
        <v>584</v>
      </c>
      <c r="K28" s="7" t="s">
        <v>648</v>
      </c>
      <c r="L28" s="7" t="s">
        <v>649</v>
      </c>
      <c r="M28" s="7">
        <v>15</v>
      </c>
    </row>
    <row r="29" spans="1:13" ht="57" customHeight="1">
      <c r="A29" s="10" t="s">
        <v>654</v>
      </c>
      <c r="B29" s="8" t="s">
        <v>85</v>
      </c>
      <c r="C29" s="8" t="s">
        <v>356</v>
      </c>
      <c r="D29" s="8" t="s">
        <v>655</v>
      </c>
      <c r="E29" s="8"/>
      <c r="F29" s="29" t="s">
        <v>656</v>
      </c>
      <c r="G29" s="29"/>
      <c r="H29" s="29"/>
      <c r="I29" s="8" t="s">
        <v>83</v>
      </c>
      <c r="J29" s="8" t="s">
        <v>584</v>
      </c>
      <c r="K29" s="8" t="s">
        <v>585</v>
      </c>
      <c r="L29" s="8" t="s">
        <v>657</v>
      </c>
      <c r="M29" s="8">
        <v>16</v>
      </c>
    </row>
    <row r="30" spans="1:13" ht="57" customHeight="1">
      <c r="A30" s="9" t="s">
        <v>658</v>
      </c>
      <c r="B30" s="7" t="s">
        <v>88</v>
      </c>
      <c r="C30" s="7" t="s">
        <v>365</v>
      </c>
      <c r="D30" s="7" t="s">
        <v>659</v>
      </c>
      <c r="E30" s="7"/>
      <c r="F30" s="28" t="s">
        <v>660</v>
      </c>
      <c r="G30" s="28"/>
      <c r="H30" s="28"/>
      <c r="I30" s="7" t="s">
        <v>86</v>
      </c>
      <c r="J30" s="7" t="s">
        <v>584</v>
      </c>
      <c r="K30" s="7" t="s">
        <v>585</v>
      </c>
      <c r="L30" s="7" t="s">
        <v>661</v>
      </c>
      <c r="M30" s="7">
        <v>17</v>
      </c>
    </row>
    <row r="31" spans="1:13" ht="57" customHeight="1">
      <c r="A31" s="10" t="s">
        <v>662</v>
      </c>
      <c r="B31" s="8" t="s">
        <v>91</v>
      </c>
      <c r="C31" s="8" t="s">
        <v>376</v>
      </c>
      <c r="D31" s="8" t="s">
        <v>663</v>
      </c>
      <c r="E31" s="8"/>
      <c r="F31" s="29" t="s">
        <v>664</v>
      </c>
      <c r="G31" s="29"/>
      <c r="H31" s="29"/>
      <c r="I31" s="8" t="s">
        <v>89</v>
      </c>
      <c r="J31" s="8" t="s">
        <v>584</v>
      </c>
      <c r="K31" s="8" t="s">
        <v>585</v>
      </c>
      <c r="L31" s="8" t="s">
        <v>665</v>
      </c>
      <c r="M31" s="8">
        <v>18</v>
      </c>
    </row>
    <row r="32" spans="1:13" ht="57" customHeight="1">
      <c r="A32" s="9" t="s">
        <v>666</v>
      </c>
      <c r="B32" s="7" t="s">
        <v>94</v>
      </c>
      <c r="C32" s="7" t="s">
        <v>387</v>
      </c>
      <c r="D32" s="7" t="s">
        <v>667</v>
      </c>
      <c r="E32" s="7"/>
      <c r="F32" s="28" t="s">
        <v>668</v>
      </c>
      <c r="G32" s="28"/>
      <c r="H32" s="28"/>
      <c r="I32" s="7" t="s">
        <v>92</v>
      </c>
      <c r="J32" s="7" t="s">
        <v>584</v>
      </c>
      <c r="K32" s="7" t="s">
        <v>585</v>
      </c>
      <c r="L32" s="7" t="s">
        <v>669</v>
      </c>
      <c r="M32" s="7">
        <v>19</v>
      </c>
    </row>
    <row r="33" spans="1:13" ht="57" customHeight="1">
      <c r="A33" s="10" t="s">
        <v>670</v>
      </c>
      <c r="B33" s="8" t="s">
        <v>94</v>
      </c>
      <c r="C33" s="8" t="s">
        <v>387</v>
      </c>
      <c r="D33" s="8" t="s">
        <v>671</v>
      </c>
      <c r="E33" s="8"/>
      <c r="F33" s="29" t="s">
        <v>672</v>
      </c>
      <c r="G33" s="29"/>
      <c r="H33" s="29"/>
      <c r="I33" s="8" t="s">
        <v>92</v>
      </c>
      <c r="J33" s="8" t="s">
        <v>584</v>
      </c>
      <c r="K33" s="8" t="s">
        <v>585</v>
      </c>
      <c r="L33" s="8" t="s">
        <v>669</v>
      </c>
      <c r="M33" s="8">
        <v>19</v>
      </c>
    </row>
    <row r="34" spans="1:13" ht="57" customHeight="1">
      <c r="A34" s="9" t="s">
        <v>673</v>
      </c>
      <c r="B34" s="7" t="s">
        <v>94</v>
      </c>
      <c r="C34" s="7" t="s">
        <v>387</v>
      </c>
      <c r="D34" s="7" t="s">
        <v>674</v>
      </c>
      <c r="E34" s="7"/>
      <c r="F34" s="28" t="s">
        <v>675</v>
      </c>
      <c r="G34" s="28"/>
      <c r="H34" s="28"/>
      <c r="I34" s="7" t="s">
        <v>92</v>
      </c>
      <c r="J34" s="7" t="s">
        <v>676</v>
      </c>
      <c r="K34" s="7" t="s">
        <v>677</v>
      </c>
      <c r="L34" s="7" t="s">
        <v>669</v>
      </c>
      <c r="M34" s="7">
        <v>19</v>
      </c>
    </row>
    <row r="35" spans="1:13" ht="57" customHeight="1">
      <c r="A35" s="10" t="s">
        <v>678</v>
      </c>
      <c r="B35" s="8" t="s">
        <v>94</v>
      </c>
      <c r="C35" s="8" t="s">
        <v>387</v>
      </c>
      <c r="D35" s="8" t="s">
        <v>679</v>
      </c>
      <c r="E35" s="8"/>
      <c r="F35" s="29" t="s">
        <v>680</v>
      </c>
      <c r="G35" s="29"/>
      <c r="H35" s="29"/>
      <c r="I35" s="8" t="s">
        <v>92</v>
      </c>
      <c r="J35" s="8" t="s">
        <v>584</v>
      </c>
      <c r="K35" s="8" t="s">
        <v>585</v>
      </c>
      <c r="L35" s="8" t="s">
        <v>669</v>
      </c>
      <c r="M35" s="8">
        <v>19</v>
      </c>
    </row>
    <row r="36" spans="1:13" ht="57" customHeight="1">
      <c r="A36" s="9" t="s">
        <v>681</v>
      </c>
      <c r="B36" s="7" t="s">
        <v>99</v>
      </c>
      <c r="C36" s="7" t="s">
        <v>399</v>
      </c>
      <c r="D36" s="7" t="s">
        <v>682</v>
      </c>
      <c r="E36" s="7"/>
      <c r="F36" s="28" t="s">
        <v>683</v>
      </c>
      <c r="G36" s="28"/>
      <c r="H36" s="28"/>
      <c r="I36" s="7" t="s">
        <v>97</v>
      </c>
      <c r="J36" s="7" t="s">
        <v>584</v>
      </c>
      <c r="K36" s="7" t="s">
        <v>585</v>
      </c>
      <c r="L36" s="7" t="s">
        <v>684</v>
      </c>
      <c r="M36" s="7">
        <v>20</v>
      </c>
    </row>
    <row r="37" spans="1:13" ht="57" customHeight="1">
      <c r="A37" s="10" t="s">
        <v>685</v>
      </c>
      <c r="B37" s="8" t="s">
        <v>102</v>
      </c>
      <c r="C37" s="8" t="s">
        <v>410</v>
      </c>
      <c r="D37" s="8" t="s">
        <v>686</v>
      </c>
      <c r="E37" s="8"/>
      <c r="F37" s="29" t="s">
        <v>687</v>
      </c>
      <c r="G37" s="29"/>
      <c r="H37" s="29"/>
      <c r="I37" s="8" t="s">
        <v>100</v>
      </c>
      <c r="J37" s="8" t="s">
        <v>584</v>
      </c>
      <c r="K37" s="8" t="s">
        <v>585</v>
      </c>
      <c r="L37" s="8" t="s">
        <v>688</v>
      </c>
      <c r="M37" s="8">
        <v>21</v>
      </c>
    </row>
    <row r="38" spans="1:13" ht="57" customHeight="1">
      <c r="A38" s="9" t="s">
        <v>689</v>
      </c>
      <c r="B38" s="7" t="s">
        <v>105</v>
      </c>
      <c r="C38" s="7" t="s">
        <v>421</v>
      </c>
      <c r="D38" s="7" t="s">
        <v>690</v>
      </c>
      <c r="E38" s="7"/>
      <c r="F38" s="28" t="s">
        <v>691</v>
      </c>
      <c r="G38" s="28"/>
      <c r="H38" s="28"/>
      <c r="I38" s="7" t="s">
        <v>103</v>
      </c>
      <c r="J38" s="7" t="s">
        <v>584</v>
      </c>
      <c r="K38" s="7" t="s">
        <v>585</v>
      </c>
      <c r="L38" s="7" t="s">
        <v>692</v>
      </c>
      <c r="M38" s="7">
        <v>22</v>
      </c>
    </row>
    <row r="39" spans="1:13" ht="57" customHeight="1">
      <c r="A39" s="10" t="s">
        <v>693</v>
      </c>
      <c r="B39" s="8" t="s">
        <v>108</v>
      </c>
      <c r="C39" s="8" t="s">
        <v>430</v>
      </c>
      <c r="D39" s="8" t="s">
        <v>694</v>
      </c>
      <c r="E39" s="8"/>
      <c r="F39" s="29" t="s">
        <v>695</v>
      </c>
      <c r="G39" s="29"/>
      <c r="H39" s="29"/>
      <c r="I39" s="8" t="s">
        <v>696</v>
      </c>
      <c r="J39" s="8" t="s">
        <v>584</v>
      </c>
      <c r="K39" s="8" t="s">
        <v>585</v>
      </c>
      <c r="L39" s="8" t="s">
        <v>697</v>
      </c>
      <c r="M39" s="8">
        <v>23</v>
      </c>
    </row>
    <row r="40" spans="1:13" ht="57" customHeight="1">
      <c r="A40" s="9" t="s">
        <v>698</v>
      </c>
      <c r="B40" s="7" t="s">
        <v>108</v>
      </c>
      <c r="C40" s="7" t="s">
        <v>430</v>
      </c>
      <c r="D40" s="7" t="s">
        <v>699</v>
      </c>
      <c r="E40" s="7"/>
      <c r="F40" s="28" t="s">
        <v>700</v>
      </c>
      <c r="G40" s="28"/>
      <c r="H40" s="28"/>
      <c r="I40" s="7" t="s">
        <v>696</v>
      </c>
      <c r="J40" s="7" t="s">
        <v>584</v>
      </c>
      <c r="K40" s="7" t="s">
        <v>585</v>
      </c>
      <c r="L40" s="7" t="s">
        <v>697</v>
      </c>
      <c r="M40" s="7">
        <v>23</v>
      </c>
    </row>
    <row r="41" spans="1:13" ht="57" customHeight="1">
      <c r="A41" s="10" t="s">
        <v>701</v>
      </c>
      <c r="B41" s="8" t="s">
        <v>119</v>
      </c>
      <c r="C41" s="8" t="s">
        <v>118</v>
      </c>
      <c r="D41" s="8" t="s">
        <v>702</v>
      </c>
      <c r="E41" s="8"/>
      <c r="F41" s="29" t="s">
        <v>703</v>
      </c>
      <c r="G41" s="29"/>
      <c r="H41" s="29"/>
      <c r="I41" s="8" t="s">
        <v>117</v>
      </c>
      <c r="J41" s="8" t="s">
        <v>584</v>
      </c>
      <c r="K41" s="8" t="s">
        <v>704</v>
      </c>
      <c r="L41" s="8" t="s">
        <v>705</v>
      </c>
      <c r="M41" s="8">
        <v>25</v>
      </c>
    </row>
    <row r="42" spans="1:13" ht="57" customHeight="1">
      <c r="A42" s="9" t="s">
        <v>706</v>
      </c>
      <c r="B42" s="7" t="s">
        <v>119</v>
      </c>
      <c r="C42" s="7" t="s">
        <v>118</v>
      </c>
      <c r="D42" s="7" t="s">
        <v>707</v>
      </c>
      <c r="E42" s="7"/>
      <c r="F42" s="28"/>
      <c r="G42" s="28"/>
      <c r="H42" s="28"/>
      <c r="I42" s="7" t="s">
        <v>117</v>
      </c>
      <c r="J42" s="7" t="s">
        <v>584</v>
      </c>
      <c r="K42" s="7" t="s">
        <v>704</v>
      </c>
      <c r="L42" s="7" t="s">
        <v>705</v>
      </c>
      <c r="M42" s="7">
        <v>25</v>
      </c>
    </row>
    <row r="43" spans="1:13" ht="57" customHeight="1">
      <c r="A43" s="10" t="s">
        <v>708</v>
      </c>
      <c r="B43" s="8" t="s">
        <v>126</v>
      </c>
      <c r="C43" s="8" t="s">
        <v>463</v>
      </c>
      <c r="D43" s="8" t="s">
        <v>709</v>
      </c>
      <c r="E43" s="8" t="s">
        <v>710</v>
      </c>
      <c r="F43" s="29" t="s">
        <v>711</v>
      </c>
      <c r="G43" s="29" t="s">
        <v>712</v>
      </c>
      <c r="H43" s="29" t="s">
        <v>713</v>
      </c>
      <c r="I43" s="8" t="s">
        <v>124</v>
      </c>
      <c r="J43" s="8" t="s">
        <v>584</v>
      </c>
      <c r="K43" s="8" t="s">
        <v>585</v>
      </c>
      <c r="L43" s="8" t="s">
        <v>714</v>
      </c>
      <c r="M43" s="8">
        <v>26</v>
      </c>
    </row>
    <row r="44" spans="1:13" ht="57" customHeight="1">
      <c r="A44" s="9" t="s">
        <v>715</v>
      </c>
      <c r="B44" s="7" t="s">
        <v>129</v>
      </c>
      <c r="C44" s="7" t="s">
        <v>128</v>
      </c>
      <c r="D44" s="7" t="s">
        <v>716</v>
      </c>
      <c r="E44" s="7" t="s">
        <v>717</v>
      </c>
      <c r="F44" s="28" t="s">
        <v>718</v>
      </c>
      <c r="G44" s="28"/>
      <c r="H44" s="28" t="s">
        <v>719</v>
      </c>
      <c r="I44" s="7" t="s">
        <v>127</v>
      </c>
      <c r="J44" s="7" t="s">
        <v>584</v>
      </c>
      <c r="K44" s="7" t="s">
        <v>720</v>
      </c>
      <c r="L44" s="7" t="s">
        <v>721</v>
      </c>
      <c r="M44" s="7">
        <v>27</v>
      </c>
    </row>
    <row r="45" spans="1:13" ht="57" customHeight="1">
      <c r="A45" s="10" t="s">
        <v>722</v>
      </c>
      <c r="B45" s="8" t="s">
        <v>129</v>
      </c>
      <c r="C45" s="8" t="s">
        <v>128</v>
      </c>
      <c r="D45" s="8" t="s">
        <v>723</v>
      </c>
      <c r="E45" s="8" t="s">
        <v>724</v>
      </c>
      <c r="F45" s="29" t="s">
        <v>725</v>
      </c>
      <c r="G45" s="29" t="s">
        <v>726</v>
      </c>
      <c r="H45" s="29"/>
      <c r="I45" s="8" t="s">
        <v>127</v>
      </c>
      <c r="J45" s="8" t="s">
        <v>727</v>
      </c>
      <c r="K45" s="8" t="s">
        <v>728</v>
      </c>
      <c r="L45" s="8" t="s">
        <v>729</v>
      </c>
      <c r="M45" s="8">
        <v>27</v>
      </c>
    </row>
    <row r="46" spans="1:13" ht="57" customHeight="1">
      <c r="A46" s="9" t="s">
        <v>730</v>
      </c>
      <c r="B46" s="7" t="s">
        <v>129</v>
      </c>
      <c r="C46" s="7" t="s">
        <v>128</v>
      </c>
      <c r="D46" s="7" t="s">
        <v>731</v>
      </c>
      <c r="E46" s="7" t="s">
        <v>732</v>
      </c>
      <c r="F46" s="28"/>
      <c r="G46" s="28"/>
      <c r="H46" s="28"/>
      <c r="I46" s="7" t="s">
        <v>127</v>
      </c>
      <c r="J46" s="7" t="s">
        <v>733</v>
      </c>
      <c r="K46" s="7" t="s">
        <v>734</v>
      </c>
      <c r="L46" s="7" t="s">
        <v>735</v>
      </c>
      <c r="M46" s="7">
        <v>27</v>
      </c>
    </row>
    <row r="47" spans="1:13" ht="57" customHeight="1">
      <c r="A47" s="10" t="s">
        <v>736</v>
      </c>
      <c r="B47" s="8" t="s">
        <v>135</v>
      </c>
      <c r="C47" s="8" t="s">
        <v>481</v>
      </c>
      <c r="D47" s="8" t="s">
        <v>737</v>
      </c>
      <c r="E47" s="8"/>
      <c r="F47" s="29" t="s">
        <v>738</v>
      </c>
      <c r="G47" s="29"/>
      <c r="H47" s="29"/>
      <c r="I47" s="8" t="s">
        <v>133</v>
      </c>
      <c r="J47" s="8" t="s">
        <v>584</v>
      </c>
      <c r="K47" s="8" t="s">
        <v>585</v>
      </c>
      <c r="L47" s="8" t="s">
        <v>739</v>
      </c>
      <c r="M47" s="8">
        <v>28</v>
      </c>
    </row>
    <row r="48" spans="1:13" ht="57" customHeight="1">
      <c r="A48" s="9" t="s">
        <v>740</v>
      </c>
      <c r="B48" s="7" t="s">
        <v>140</v>
      </c>
      <c r="C48" s="7" t="s">
        <v>489</v>
      </c>
      <c r="D48" s="7" t="s">
        <v>741</v>
      </c>
      <c r="E48" s="7"/>
      <c r="F48" s="28" t="s">
        <v>742</v>
      </c>
      <c r="G48" s="28"/>
      <c r="H48" s="28"/>
      <c r="I48" s="7" t="s">
        <v>138</v>
      </c>
      <c r="J48" s="7" t="s">
        <v>584</v>
      </c>
      <c r="K48" s="7" t="s">
        <v>585</v>
      </c>
      <c r="L48" s="7" t="s">
        <v>743</v>
      </c>
      <c r="M48" s="7">
        <v>29</v>
      </c>
    </row>
    <row r="49" spans="1:13" ht="57" customHeight="1">
      <c r="A49" s="10" t="s">
        <v>744</v>
      </c>
      <c r="B49" s="8" t="s">
        <v>143</v>
      </c>
      <c r="C49" s="8" t="s">
        <v>498</v>
      </c>
      <c r="D49" s="8" t="s">
        <v>745</v>
      </c>
      <c r="E49" s="8"/>
      <c r="F49" s="29" t="s">
        <v>746</v>
      </c>
      <c r="G49" s="29"/>
      <c r="H49" s="29"/>
      <c r="I49" s="8" t="s">
        <v>141</v>
      </c>
      <c r="J49" s="8" t="s">
        <v>342</v>
      </c>
      <c r="K49" s="8" t="s">
        <v>747</v>
      </c>
      <c r="L49" s="8" t="s">
        <v>748</v>
      </c>
      <c r="M49" s="8">
        <v>30</v>
      </c>
    </row>
    <row r="50" spans="1:13" ht="57" customHeight="1">
      <c r="A50" s="9" t="s">
        <v>749</v>
      </c>
      <c r="B50" s="7" t="s">
        <v>143</v>
      </c>
      <c r="C50" s="7" t="s">
        <v>498</v>
      </c>
      <c r="D50" s="7" t="s">
        <v>750</v>
      </c>
      <c r="E50" s="7"/>
      <c r="F50" s="28" t="s">
        <v>751</v>
      </c>
      <c r="G50" s="28"/>
      <c r="H50" s="28"/>
      <c r="I50" s="7" t="s">
        <v>141</v>
      </c>
      <c r="J50" s="7" t="s">
        <v>584</v>
      </c>
      <c r="K50" s="7" t="s">
        <v>585</v>
      </c>
      <c r="L50" s="7" t="s">
        <v>748</v>
      </c>
      <c r="M50" s="7">
        <v>30</v>
      </c>
    </row>
    <row r="51" spans="1:13" ht="57" customHeight="1">
      <c r="A51" s="10" t="s">
        <v>752</v>
      </c>
      <c r="B51" s="8" t="s">
        <v>143</v>
      </c>
      <c r="C51" s="8" t="s">
        <v>498</v>
      </c>
      <c r="D51" s="8" t="s">
        <v>753</v>
      </c>
      <c r="E51" s="8"/>
      <c r="F51" s="29" t="s">
        <v>754</v>
      </c>
      <c r="G51" s="29"/>
      <c r="H51" s="29"/>
      <c r="I51" s="8" t="s">
        <v>141</v>
      </c>
      <c r="J51" s="8" t="s">
        <v>584</v>
      </c>
      <c r="K51" s="8" t="s">
        <v>585</v>
      </c>
      <c r="L51" s="8" t="s">
        <v>748</v>
      </c>
      <c r="M51" s="8">
        <v>30</v>
      </c>
    </row>
    <row r="52" spans="1:13" ht="57" customHeight="1">
      <c r="A52" s="9" t="s">
        <v>755</v>
      </c>
      <c r="B52" s="7" t="s">
        <v>148</v>
      </c>
      <c r="C52" s="7" t="s">
        <v>506</v>
      </c>
      <c r="D52" s="7" t="s">
        <v>756</v>
      </c>
      <c r="E52" s="7"/>
      <c r="F52" s="28" t="s">
        <v>757</v>
      </c>
      <c r="G52" s="28"/>
      <c r="H52" s="28"/>
      <c r="I52" s="7" t="s">
        <v>146</v>
      </c>
      <c r="J52" s="7" t="s">
        <v>676</v>
      </c>
      <c r="K52" s="7" t="s">
        <v>758</v>
      </c>
      <c r="L52" s="7" t="s">
        <v>759</v>
      </c>
      <c r="M52" s="7">
        <v>31</v>
      </c>
    </row>
    <row r="53" spans="1:13" ht="57" customHeight="1">
      <c r="A53" s="10" t="s">
        <v>760</v>
      </c>
      <c r="B53" s="8" t="s">
        <v>148</v>
      </c>
      <c r="C53" s="8" t="s">
        <v>506</v>
      </c>
      <c r="D53" s="8" t="s">
        <v>761</v>
      </c>
      <c r="E53" s="8"/>
      <c r="F53" s="29" t="s">
        <v>762</v>
      </c>
      <c r="G53" s="29"/>
      <c r="H53" s="29"/>
      <c r="I53" s="8" t="s">
        <v>146</v>
      </c>
      <c r="J53" s="8" t="s">
        <v>584</v>
      </c>
      <c r="K53" s="8" t="s">
        <v>585</v>
      </c>
      <c r="L53" s="8" t="s">
        <v>759</v>
      </c>
      <c r="M53" s="8">
        <v>31</v>
      </c>
    </row>
    <row r="54" spans="1:13" ht="57" customHeight="1">
      <c r="A54" s="9" t="s">
        <v>763</v>
      </c>
      <c r="B54" s="7" t="s">
        <v>148</v>
      </c>
      <c r="C54" s="7" t="s">
        <v>506</v>
      </c>
      <c r="D54" s="7" t="s">
        <v>764</v>
      </c>
      <c r="E54" s="7"/>
      <c r="F54" s="28" t="s">
        <v>765</v>
      </c>
      <c r="G54" s="28"/>
      <c r="H54" s="28"/>
      <c r="I54" s="7" t="s">
        <v>146</v>
      </c>
      <c r="J54" s="7" t="s">
        <v>584</v>
      </c>
      <c r="K54" s="7" t="s">
        <v>585</v>
      </c>
      <c r="L54" s="7" t="s">
        <v>759</v>
      </c>
      <c r="M54" s="7">
        <v>31</v>
      </c>
    </row>
    <row r="55" spans="1:13" ht="57" customHeight="1">
      <c r="A55" s="10" t="s">
        <v>766</v>
      </c>
      <c r="B55" s="8" t="s">
        <v>153</v>
      </c>
      <c r="C55" s="8" t="s">
        <v>516</v>
      </c>
      <c r="D55" s="8" t="s">
        <v>767</v>
      </c>
      <c r="E55" s="8"/>
      <c r="F55" s="29" t="s">
        <v>768</v>
      </c>
      <c r="G55" s="29"/>
      <c r="H55" s="29"/>
      <c r="I55" s="8" t="s">
        <v>151</v>
      </c>
      <c r="J55" s="8" t="s">
        <v>676</v>
      </c>
      <c r="K55" s="8" t="s">
        <v>769</v>
      </c>
      <c r="L55" s="8" t="s">
        <v>770</v>
      </c>
      <c r="M55" s="8">
        <v>32</v>
      </c>
    </row>
    <row r="56" spans="1:13" ht="57" customHeight="1">
      <c r="A56" s="9" t="s">
        <v>771</v>
      </c>
      <c r="B56" s="7" t="s">
        <v>153</v>
      </c>
      <c r="C56" s="7" t="s">
        <v>516</v>
      </c>
      <c r="D56" s="7" t="s">
        <v>772</v>
      </c>
      <c r="E56" s="7"/>
      <c r="F56" s="28" t="s">
        <v>773</v>
      </c>
      <c r="G56" s="28"/>
      <c r="H56" s="28"/>
      <c r="I56" s="7" t="s">
        <v>151</v>
      </c>
      <c r="J56" s="7" t="s">
        <v>584</v>
      </c>
      <c r="K56" s="7" t="s">
        <v>585</v>
      </c>
      <c r="L56" s="7" t="s">
        <v>770</v>
      </c>
      <c r="M56" s="7">
        <v>32</v>
      </c>
    </row>
    <row r="57" spans="1:13" ht="57" customHeight="1">
      <c r="A57" s="10" t="s">
        <v>774</v>
      </c>
      <c r="B57" s="8" t="s">
        <v>162</v>
      </c>
      <c r="C57" s="8" t="s">
        <v>161</v>
      </c>
      <c r="D57" s="8" t="s">
        <v>775</v>
      </c>
      <c r="E57" s="8"/>
      <c r="F57" s="29" t="s">
        <v>776</v>
      </c>
      <c r="G57" s="29" t="s">
        <v>777</v>
      </c>
      <c r="H57" s="29"/>
      <c r="I57" s="8" t="s">
        <v>160</v>
      </c>
      <c r="J57" s="8" t="s">
        <v>584</v>
      </c>
      <c r="K57" s="8" t="s">
        <v>585</v>
      </c>
      <c r="L57" s="8" t="s">
        <v>778</v>
      </c>
      <c r="M57" s="8">
        <v>34</v>
      </c>
    </row>
    <row r="58" spans="1:13" ht="57" customHeight="1">
      <c r="A58" s="9" t="s">
        <v>779</v>
      </c>
      <c r="B58" s="7" t="s">
        <v>168</v>
      </c>
      <c r="C58" s="7" t="s">
        <v>167</v>
      </c>
      <c r="D58" s="7" t="s">
        <v>780</v>
      </c>
      <c r="E58" s="7" t="s">
        <v>724</v>
      </c>
      <c r="F58" s="28" t="s">
        <v>781</v>
      </c>
      <c r="G58" s="28" t="s">
        <v>782</v>
      </c>
      <c r="H58" s="28"/>
      <c r="I58" s="7" t="s">
        <v>166</v>
      </c>
      <c r="J58" s="7" t="s">
        <v>727</v>
      </c>
      <c r="K58" s="7" t="s">
        <v>783</v>
      </c>
      <c r="L58" s="7" t="s">
        <v>784</v>
      </c>
      <c r="M58" s="7">
        <v>35</v>
      </c>
    </row>
    <row r="59" spans="1:13" ht="57" customHeight="1">
      <c r="A59" s="10" t="s">
        <v>785</v>
      </c>
      <c r="B59" s="8" t="s">
        <v>173</v>
      </c>
      <c r="C59" s="8" t="s">
        <v>172</v>
      </c>
      <c r="D59" s="8" t="s">
        <v>786</v>
      </c>
      <c r="E59" s="8" t="s">
        <v>787</v>
      </c>
      <c r="F59" s="29" t="s">
        <v>788</v>
      </c>
      <c r="G59" s="29"/>
      <c r="H59" s="29" t="s">
        <v>789</v>
      </c>
      <c r="I59" s="8" t="s">
        <v>171</v>
      </c>
      <c r="J59" s="8" t="s">
        <v>584</v>
      </c>
      <c r="K59" s="8" t="s">
        <v>585</v>
      </c>
      <c r="L59" s="8" t="s">
        <v>790</v>
      </c>
      <c r="M59" s="8">
        <v>36</v>
      </c>
    </row>
    <row r="60" spans="1:13" ht="57" customHeight="1">
      <c r="A60" s="9" t="s">
        <v>791</v>
      </c>
      <c r="B60" s="7" t="s">
        <v>183</v>
      </c>
      <c r="C60" s="7" t="s">
        <v>182</v>
      </c>
      <c r="D60" s="7" t="s">
        <v>792</v>
      </c>
      <c r="E60" s="7"/>
      <c r="F60" s="28"/>
      <c r="G60" s="28"/>
      <c r="H60" s="28"/>
      <c r="I60" s="7" t="s">
        <v>181</v>
      </c>
      <c r="J60" s="7" t="s">
        <v>793</v>
      </c>
      <c r="K60" s="7" t="s">
        <v>794</v>
      </c>
      <c r="L60" s="7" t="s">
        <v>795</v>
      </c>
      <c r="M60" s="7">
        <v>38</v>
      </c>
    </row>
  </sheetData>
  <conditionalFormatting sqref="J10:J60">
    <cfRule type="containsText" dxfId="2" priority="1" operator="containsText" text="prüfen"/>
    <cfRule type="containsText" dxfId="1" priority="2" operator="containsText" text="vermutet"/>
    <cfRule type="containsText" dxfId="0" priority="3" operator="containsText" text="offen"/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BC2BE"/>
  </sheetPr>
  <dimension ref="A1:Q38"/>
  <sheetViews>
    <sheetView showGridLines="0" workbookViewId="0">
      <pane xSplit="3" ySplit="2" topLeftCell="G3" activePane="bottomRight" state="frozen"/>
      <selection pane="bottomRight" activeCell="D3" sqref="D3"/>
      <selection pane="bottomLeft"/>
      <selection pane="topRight"/>
    </sheetView>
  </sheetViews>
  <sheetFormatPr defaultColWidth="8.875" defaultRowHeight="14.1"/>
  <cols>
    <col min="1" max="1" width="15" customWidth="1"/>
    <col min="2" max="2" width="18" customWidth="1"/>
    <col min="3" max="3" width="43" customWidth="1"/>
    <col min="4" max="4" width="48" customWidth="1"/>
    <col min="5" max="5" width="18" customWidth="1"/>
    <col min="6" max="6" width="17" customWidth="1"/>
    <col min="7" max="7" width="55" customWidth="1"/>
    <col min="8" max="8" width="52" customWidth="1"/>
    <col min="9" max="9" width="84" customWidth="1"/>
    <col min="10" max="10" width="43" customWidth="1"/>
    <col min="11" max="11" width="19" customWidth="1"/>
    <col min="12" max="12" width="31" customWidth="1"/>
    <col min="13" max="13" width="22" customWidth="1"/>
    <col min="14" max="14" width="17" customWidth="1"/>
    <col min="15" max="15" width="45" customWidth="1"/>
    <col min="17" max="17" width="95" customWidth="1"/>
  </cols>
  <sheetData>
    <row r="1" spans="1:17">
      <c r="A1" s="32"/>
      <c r="B1" s="32"/>
      <c r="C1" s="32" t="s">
        <v>1</v>
      </c>
      <c r="D1" s="32"/>
      <c r="E1" s="32"/>
      <c r="F1" s="37">
        <f>SUM(F3:F76)</f>
        <v>729.55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 t="s">
        <v>796</v>
      </c>
    </row>
    <row r="2" spans="1:17" ht="33.950000000000003" customHeight="1">
      <c r="A2" s="33"/>
      <c r="B2" s="33" t="s">
        <v>797</v>
      </c>
      <c r="C2" s="33" t="s">
        <v>573</v>
      </c>
      <c r="D2" s="33" t="s">
        <v>798</v>
      </c>
      <c r="E2" s="33" t="s">
        <v>799</v>
      </c>
      <c r="F2" s="38" t="s">
        <v>800</v>
      </c>
      <c r="G2" s="33" t="s">
        <v>801</v>
      </c>
      <c r="H2" s="33" t="s">
        <v>802</v>
      </c>
      <c r="I2" s="33" t="s">
        <v>803</v>
      </c>
      <c r="J2" s="33" t="s">
        <v>804</v>
      </c>
      <c r="K2" s="33" t="s">
        <v>805</v>
      </c>
      <c r="L2" s="33" t="s">
        <v>806</v>
      </c>
      <c r="M2" s="33" t="s">
        <v>807</v>
      </c>
      <c r="N2" s="33" t="s">
        <v>808</v>
      </c>
      <c r="O2" s="33"/>
      <c r="P2" s="32"/>
      <c r="Q2" s="32" t="s">
        <v>809</v>
      </c>
    </row>
    <row r="3" spans="1:17" ht="62.1" customHeight="1">
      <c r="A3" s="34"/>
      <c r="B3" s="35">
        <v>45689</v>
      </c>
      <c r="C3" s="34" t="s">
        <v>810</v>
      </c>
      <c r="D3" s="34" t="s">
        <v>208</v>
      </c>
      <c r="E3" s="36"/>
      <c r="F3" s="39">
        <v>50</v>
      </c>
      <c r="G3" s="34" t="s">
        <v>583</v>
      </c>
      <c r="H3" s="34"/>
      <c r="I3" s="34" t="s">
        <v>215</v>
      </c>
      <c r="J3" s="34" t="s">
        <v>811</v>
      </c>
      <c r="K3" s="34" t="s">
        <v>212</v>
      </c>
      <c r="L3" s="34" t="s">
        <v>213</v>
      </c>
      <c r="M3" s="34" t="s">
        <v>812</v>
      </c>
      <c r="N3" s="34"/>
      <c r="O3" s="34"/>
      <c r="P3" s="32"/>
      <c r="Q3" s="32" t="s">
        <v>813</v>
      </c>
    </row>
    <row r="4" spans="1:17" ht="62.1" customHeight="1">
      <c r="A4" s="34"/>
      <c r="B4" s="35">
        <v>45717</v>
      </c>
      <c r="C4" s="34" t="s">
        <v>814</v>
      </c>
      <c r="D4" s="34" t="s">
        <v>221</v>
      </c>
      <c r="E4" s="36"/>
      <c r="F4" s="39">
        <v>1</v>
      </c>
      <c r="G4" s="34" t="s">
        <v>588</v>
      </c>
      <c r="H4" s="34"/>
      <c r="I4" s="34" t="s">
        <v>589</v>
      </c>
      <c r="J4" s="34" t="s">
        <v>223</v>
      </c>
      <c r="K4" s="34" t="s">
        <v>224</v>
      </c>
      <c r="L4" s="34" t="s">
        <v>225</v>
      </c>
      <c r="M4" s="34" t="s">
        <v>812</v>
      </c>
      <c r="N4" s="34"/>
      <c r="O4" s="34"/>
      <c r="P4" s="32"/>
      <c r="Q4" s="32" t="s">
        <v>815</v>
      </c>
    </row>
    <row r="5" spans="1:17" ht="62.1" customHeight="1">
      <c r="A5" s="34"/>
      <c r="B5" s="35">
        <v>45748</v>
      </c>
      <c r="C5" s="34" t="s">
        <v>816</v>
      </c>
      <c r="D5" s="34" t="s">
        <v>817</v>
      </c>
      <c r="E5" s="36"/>
      <c r="F5" s="39">
        <v>1</v>
      </c>
      <c r="G5" s="34" t="s">
        <v>592</v>
      </c>
      <c r="H5" s="34"/>
      <c r="I5" s="34" t="s">
        <v>593</v>
      </c>
      <c r="J5" s="34" t="s">
        <v>818</v>
      </c>
      <c r="K5" s="34" t="s">
        <v>237</v>
      </c>
      <c r="L5" s="34" t="s">
        <v>819</v>
      </c>
      <c r="M5" s="34"/>
      <c r="N5" s="34"/>
      <c r="O5" s="34"/>
      <c r="P5" s="32"/>
      <c r="Q5" s="32" t="s">
        <v>820</v>
      </c>
    </row>
    <row r="6" spans="1:17" ht="62.1" customHeight="1">
      <c r="A6" s="34"/>
      <c r="B6" s="35">
        <v>45809</v>
      </c>
      <c r="C6" s="34" t="s">
        <v>821</v>
      </c>
      <c r="D6" s="34" t="s">
        <v>822</v>
      </c>
      <c r="E6" s="36"/>
      <c r="F6" s="39">
        <v>4</v>
      </c>
      <c r="G6" s="34" t="s">
        <v>596</v>
      </c>
      <c r="H6" s="34"/>
      <c r="I6" s="34" t="s">
        <v>597</v>
      </c>
      <c r="J6" s="34" t="s">
        <v>823</v>
      </c>
      <c r="K6" s="34" t="s">
        <v>247</v>
      </c>
      <c r="L6" s="34" t="s">
        <v>248</v>
      </c>
      <c r="M6" s="34"/>
      <c r="N6" s="34"/>
      <c r="O6" s="34"/>
      <c r="P6" s="32"/>
      <c r="Q6" s="32"/>
    </row>
    <row r="7" spans="1:17" ht="62.1" customHeight="1">
      <c r="A7" s="34"/>
      <c r="B7" s="35">
        <v>45809</v>
      </c>
      <c r="C7" s="34" t="s">
        <v>824</v>
      </c>
      <c r="D7" s="34" t="s">
        <v>825</v>
      </c>
      <c r="E7" s="36"/>
      <c r="F7" s="39">
        <v>5</v>
      </c>
      <c r="G7" s="34" t="s">
        <v>600</v>
      </c>
      <c r="H7" s="34"/>
      <c r="I7" s="34" t="s">
        <v>601</v>
      </c>
      <c r="J7" s="34" t="s">
        <v>826</v>
      </c>
      <c r="K7" s="34" t="s">
        <v>827</v>
      </c>
      <c r="L7" s="34" t="s">
        <v>828</v>
      </c>
      <c r="M7" s="34" t="s">
        <v>829</v>
      </c>
      <c r="N7" s="34"/>
      <c r="O7" s="34"/>
      <c r="P7" s="32"/>
      <c r="Q7" s="32"/>
    </row>
    <row r="8" spans="1:17" ht="62.1" customHeight="1">
      <c r="A8" s="34"/>
      <c r="B8" s="35">
        <v>45809</v>
      </c>
      <c r="C8" s="34" t="s">
        <v>830</v>
      </c>
      <c r="D8" s="34" t="s">
        <v>269</v>
      </c>
      <c r="E8" s="36"/>
      <c r="F8" s="39">
        <v>5</v>
      </c>
      <c r="G8" s="34" t="s">
        <v>605</v>
      </c>
      <c r="H8" s="34"/>
      <c r="I8" s="34" t="s">
        <v>606</v>
      </c>
      <c r="J8" s="34" t="s">
        <v>270</v>
      </c>
      <c r="K8" s="34" t="s">
        <v>271</v>
      </c>
      <c r="L8" s="34" t="s">
        <v>225</v>
      </c>
      <c r="M8" s="34"/>
      <c r="N8" s="34"/>
      <c r="O8" s="34"/>
      <c r="P8" s="32"/>
      <c r="Q8" s="32"/>
    </row>
    <row r="9" spans="1:17" ht="62.1" customHeight="1">
      <c r="A9" s="34"/>
      <c r="B9" s="35">
        <v>45870</v>
      </c>
      <c r="C9" s="34" t="s">
        <v>831</v>
      </c>
      <c r="D9" s="34" t="s">
        <v>278</v>
      </c>
      <c r="E9" s="36"/>
      <c r="F9" s="39">
        <v>1</v>
      </c>
      <c r="G9" s="34" t="s">
        <v>609</v>
      </c>
      <c r="H9" s="34"/>
      <c r="I9" s="34" t="s">
        <v>610</v>
      </c>
      <c r="J9" s="34" t="s">
        <v>832</v>
      </c>
      <c r="K9" s="34" t="s">
        <v>833</v>
      </c>
      <c r="L9" s="34" t="s">
        <v>283</v>
      </c>
      <c r="M9" s="34" t="s">
        <v>834</v>
      </c>
      <c r="N9" s="34"/>
      <c r="O9" s="34"/>
      <c r="P9" s="32"/>
      <c r="Q9" s="32"/>
    </row>
    <row r="10" spans="1:17" ht="62.1" customHeight="1">
      <c r="A10" s="34"/>
      <c r="B10" s="35">
        <v>45901</v>
      </c>
      <c r="C10" s="34" t="s">
        <v>835</v>
      </c>
      <c r="D10" s="34" t="s">
        <v>291</v>
      </c>
      <c r="E10" s="36"/>
      <c r="F10" s="39">
        <v>1</v>
      </c>
      <c r="G10" s="34" t="s">
        <v>836</v>
      </c>
      <c r="H10" s="34"/>
      <c r="I10" s="34" t="s">
        <v>837</v>
      </c>
      <c r="J10" s="34" t="s">
        <v>293</v>
      </c>
      <c r="K10" s="34" t="s">
        <v>294</v>
      </c>
      <c r="L10" s="34" t="s">
        <v>225</v>
      </c>
      <c r="M10" s="34" t="s">
        <v>812</v>
      </c>
      <c r="N10" s="34"/>
      <c r="O10" s="34"/>
      <c r="P10" s="32"/>
      <c r="Q10" s="32"/>
    </row>
    <row r="11" spans="1:17" ht="62.1" customHeight="1">
      <c r="A11" s="34"/>
      <c r="B11" s="35">
        <v>45931</v>
      </c>
      <c r="C11" s="34" t="s">
        <v>838</v>
      </c>
      <c r="D11" s="34" t="s">
        <v>301</v>
      </c>
      <c r="E11" s="36"/>
      <c r="F11" s="39">
        <v>1</v>
      </c>
      <c r="G11" s="34" t="s">
        <v>620</v>
      </c>
      <c r="H11" s="34"/>
      <c r="I11" s="34" t="s">
        <v>839</v>
      </c>
      <c r="J11" s="34" t="s">
        <v>303</v>
      </c>
      <c r="K11" s="34" t="s">
        <v>304</v>
      </c>
      <c r="L11" s="34" t="s">
        <v>305</v>
      </c>
      <c r="M11" s="34" t="s">
        <v>812</v>
      </c>
      <c r="N11" s="34"/>
      <c r="O11" s="34"/>
      <c r="P11" s="32"/>
      <c r="Q11" s="32"/>
    </row>
    <row r="12" spans="1:17" ht="62.1" customHeight="1">
      <c r="A12" s="34"/>
      <c r="B12" s="35">
        <v>45931</v>
      </c>
      <c r="C12" s="34" t="s">
        <v>840</v>
      </c>
      <c r="D12" s="34" t="s">
        <v>313</v>
      </c>
      <c r="E12" s="36"/>
      <c r="F12" s="39">
        <v>1</v>
      </c>
      <c r="G12" s="34" t="s">
        <v>626</v>
      </c>
      <c r="H12" s="34"/>
      <c r="I12" s="34" t="s">
        <v>627</v>
      </c>
      <c r="J12" s="34" t="s">
        <v>841</v>
      </c>
      <c r="K12" s="34" t="s">
        <v>316</v>
      </c>
      <c r="L12" s="34" t="s">
        <v>317</v>
      </c>
      <c r="M12" s="34" t="s">
        <v>812</v>
      </c>
      <c r="N12" s="34"/>
      <c r="O12" s="34"/>
      <c r="P12" s="32"/>
      <c r="Q12" s="32"/>
    </row>
    <row r="13" spans="1:17" ht="62.1" customHeight="1">
      <c r="A13" s="34"/>
      <c r="B13" s="35">
        <v>45931</v>
      </c>
      <c r="C13" s="34" t="s">
        <v>842</v>
      </c>
      <c r="D13" s="34" t="s">
        <v>843</v>
      </c>
      <c r="E13" s="36"/>
      <c r="F13" s="39">
        <v>5</v>
      </c>
      <c r="G13" s="34" t="s">
        <v>844</v>
      </c>
      <c r="H13" s="34"/>
      <c r="I13" s="34" t="s">
        <v>845</v>
      </c>
      <c r="J13" s="34" t="s">
        <v>846</v>
      </c>
      <c r="K13" s="34" t="s">
        <v>847</v>
      </c>
      <c r="L13" s="34" t="s">
        <v>848</v>
      </c>
      <c r="M13" s="34" t="s">
        <v>849</v>
      </c>
      <c r="N13" s="34"/>
      <c r="O13" s="34"/>
      <c r="P13" s="32"/>
      <c r="Q13" s="32"/>
    </row>
    <row r="14" spans="1:17" ht="62.1" customHeight="1">
      <c r="A14" s="34"/>
      <c r="B14" s="35">
        <v>45931</v>
      </c>
      <c r="C14" s="34" t="s">
        <v>850</v>
      </c>
      <c r="D14" s="34" t="s">
        <v>334</v>
      </c>
      <c r="E14" s="36"/>
      <c r="F14" s="39">
        <v>5</v>
      </c>
      <c r="G14" s="34" t="s">
        <v>851</v>
      </c>
      <c r="H14" s="34"/>
      <c r="I14" s="34" t="s">
        <v>641</v>
      </c>
      <c r="J14" s="34" t="s">
        <v>852</v>
      </c>
      <c r="K14" s="34" t="s">
        <v>853</v>
      </c>
      <c r="L14" s="34" t="s">
        <v>339</v>
      </c>
      <c r="M14" s="34" t="s">
        <v>854</v>
      </c>
      <c r="N14" s="34"/>
      <c r="O14" s="34"/>
      <c r="P14" s="32"/>
      <c r="Q14" s="32"/>
    </row>
    <row r="15" spans="1:17" ht="62.1" customHeight="1">
      <c r="A15" s="34"/>
      <c r="B15" s="35">
        <v>45962</v>
      </c>
      <c r="C15" s="34" t="s">
        <v>855</v>
      </c>
      <c r="D15" s="34" t="s">
        <v>856</v>
      </c>
      <c r="E15" s="36"/>
      <c r="F15" s="39">
        <v>1</v>
      </c>
      <c r="G15" s="34" t="s">
        <v>857</v>
      </c>
      <c r="H15" s="34"/>
      <c r="I15" s="34" t="s">
        <v>858</v>
      </c>
      <c r="J15" s="34" t="s">
        <v>859</v>
      </c>
      <c r="K15" s="34" t="s">
        <v>349</v>
      </c>
      <c r="L15" s="34" t="s">
        <v>860</v>
      </c>
      <c r="M15" s="34"/>
      <c r="N15" s="34"/>
      <c r="O15" s="34"/>
      <c r="P15" s="32"/>
      <c r="Q15" s="32"/>
    </row>
    <row r="16" spans="1:17" ht="62.1" customHeight="1">
      <c r="A16" s="34"/>
      <c r="B16" s="35">
        <v>45992</v>
      </c>
      <c r="C16" s="34" t="s">
        <v>861</v>
      </c>
      <c r="D16" s="34" t="s">
        <v>357</v>
      </c>
      <c r="E16" s="36"/>
      <c r="F16" s="39">
        <v>1</v>
      </c>
      <c r="G16" s="34" t="s">
        <v>655</v>
      </c>
      <c r="H16" s="34"/>
      <c r="I16" s="34" t="s">
        <v>656</v>
      </c>
      <c r="J16" s="34" t="s">
        <v>358</v>
      </c>
      <c r="K16" s="34" t="s">
        <v>359</v>
      </c>
      <c r="L16" s="34" t="s">
        <v>360</v>
      </c>
      <c r="M16" s="34"/>
      <c r="N16" s="34"/>
      <c r="O16" s="34"/>
      <c r="P16" s="32"/>
      <c r="Q16" s="32"/>
    </row>
    <row r="17" spans="1:17" ht="62.1" customHeight="1">
      <c r="A17" s="34"/>
      <c r="B17" s="35">
        <v>46054</v>
      </c>
      <c r="C17" s="34" t="s">
        <v>862</v>
      </c>
      <c r="D17" s="34" t="s">
        <v>863</v>
      </c>
      <c r="E17" s="36"/>
      <c r="F17" s="39">
        <v>2</v>
      </c>
      <c r="G17" s="34" t="s">
        <v>659</v>
      </c>
      <c r="H17" s="34"/>
      <c r="I17" s="34" t="s">
        <v>660</v>
      </c>
      <c r="J17" s="34" t="s">
        <v>864</v>
      </c>
      <c r="K17" s="34" t="s">
        <v>369</v>
      </c>
      <c r="L17" s="34" t="s">
        <v>865</v>
      </c>
      <c r="M17" s="34"/>
      <c r="N17" s="34"/>
      <c r="O17" s="34"/>
      <c r="P17" s="32"/>
      <c r="Q17" s="32"/>
    </row>
    <row r="18" spans="1:17" ht="62.1" customHeight="1">
      <c r="A18" s="34"/>
      <c r="B18" s="35">
        <v>46054</v>
      </c>
      <c r="C18" s="34" t="s">
        <v>866</v>
      </c>
      <c r="D18" s="34" t="s">
        <v>867</v>
      </c>
      <c r="E18" s="36"/>
      <c r="F18" s="39">
        <v>20</v>
      </c>
      <c r="G18" s="34" t="s">
        <v>663</v>
      </c>
      <c r="H18" s="34"/>
      <c r="I18" s="34" t="s">
        <v>664</v>
      </c>
      <c r="J18" s="34" t="s">
        <v>868</v>
      </c>
      <c r="K18" s="34" t="s">
        <v>380</v>
      </c>
      <c r="L18" s="34" t="s">
        <v>381</v>
      </c>
      <c r="M18" s="34" t="s">
        <v>812</v>
      </c>
      <c r="N18" s="34"/>
      <c r="O18" s="34"/>
      <c r="P18" s="32"/>
      <c r="Q18" s="32"/>
    </row>
    <row r="19" spans="1:17" ht="62.1" customHeight="1">
      <c r="A19" s="34"/>
      <c r="B19" s="35">
        <v>46054</v>
      </c>
      <c r="C19" s="34" t="s">
        <v>869</v>
      </c>
      <c r="D19" s="34" t="s">
        <v>388</v>
      </c>
      <c r="E19" s="36"/>
      <c r="F19" s="39">
        <v>267</v>
      </c>
      <c r="G19" s="34" t="s">
        <v>870</v>
      </c>
      <c r="H19" s="34"/>
      <c r="I19" s="34" t="s">
        <v>871</v>
      </c>
      <c r="J19" s="34" t="s">
        <v>391</v>
      </c>
      <c r="K19" s="34" t="s">
        <v>392</v>
      </c>
      <c r="L19" s="34" t="s">
        <v>393</v>
      </c>
      <c r="M19" s="34" t="s">
        <v>872</v>
      </c>
      <c r="N19" s="34"/>
      <c r="O19" s="34"/>
      <c r="P19" s="32"/>
      <c r="Q19" s="32"/>
    </row>
    <row r="20" spans="1:17" ht="62.1" customHeight="1">
      <c r="A20" s="34"/>
      <c r="B20" s="35">
        <v>46082</v>
      </c>
      <c r="C20" s="34" t="s">
        <v>873</v>
      </c>
      <c r="D20" s="34" t="s">
        <v>400</v>
      </c>
      <c r="E20" s="36"/>
      <c r="F20" s="39">
        <v>1</v>
      </c>
      <c r="G20" s="34" t="s">
        <v>682</v>
      </c>
      <c r="H20" s="34"/>
      <c r="I20" s="34" t="s">
        <v>683</v>
      </c>
      <c r="J20" s="34" t="s">
        <v>874</v>
      </c>
      <c r="K20" s="34" t="s">
        <v>875</v>
      </c>
      <c r="L20" s="34" t="s">
        <v>876</v>
      </c>
      <c r="M20" s="34" t="s">
        <v>834</v>
      </c>
      <c r="N20" s="34"/>
      <c r="O20" s="34"/>
      <c r="P20" s="32"/>
      <c r="Q20" s="32"/>
    </row>
    <row r="21" spans="1:17" ht="62.1" customHeight="1">
      <c r="A21" s="34"/>
      <c r="B21" s="35">
        <v>46082</v>
      </c>
      <c r="C21" s="34" t="s">
        <v>877</v>
      </c>
      <c r="D21" s="34" t="s">
        <v>411</v>
      </c>
      <c r="E21" s="36"/>
      <c r="F21" s="39">
        <v>1</v>
      </c>
      <c r="G21" s="34" t="s">
        <v>686</v>
      </c>
      <c r="H21" s="34"/>
      <c r="I21" s="34" t="s">
        <v>687</v>
      </c>
      <c r="J21" s="34" t="s">
        <v>878</v>
      </c>
      <c r="K21" s="34" t="s">
        <v>414</v>
      </c>
      <c r="L21" s="34" t="s">
        <v>415</v>
      </c>
      <c r="M21" s="34" t="s">
        <v>812</v>
      </c>
      <c r="N21" s="34"/>
      <c r="O21" s="34"/>
      <c r="P21" s="32"/>
      <c r="Q21" s="32"/>
    </row>
    <row r="22" spans="1:17" ht="62.1" customHeight="1">
      <c r="A22" s="34"/>
      <c r="B22" s="35">
        <v>46082</v>
      </c>
      <c r="C22" s="34" t="s">
        <v>879</v>
      </c>
      <c r="D22" s="34" t="s">
        <v>422</v>
      </c>
      <c r="E22" s="36"/>
      <c r="F22" s="39">
        <v>15</v>
      </c>
      <c r="G22" s="34" t="s">
        <v>690</v>
      </c>
      <c r="H22" s="34"/>
      <c r="I22" s="34" t="s">
        <v>691</v>
      </c>
      <c r="J22" s="34" t="s">
        <v>423</v>
      </c>
      <c r="K22" s="34" t="s">
        <v>424</v>
      </c>
      <c r="L22" s="34" t="s">
        <v>880</v>
      </c>
      <c r="M22" s="34" t="s">
        <v>812</v>
      </c>
      <c r="N22" s="34"/>
      <c r="O22" s="34"/>
      <c r="P22" s="32"/>
      <c r="Q22" s="32"/>
    </row>
    <row r="23" spans="1:17" ht="62.1" customHeight="1">
      <c r="A23" s="34"/>
      <c r="B23" s="35">
        <v>46082</v>
      </c>
      <c r="C23" s="34" t="s">
        <v>881</v>
      </c>
      <c r="D23" s="34" t="s">
        <v>431</v>
      </c>
      <c r="E23" s="36">
        <v>46181</v>
      </c>
      <c r="F23" s="39">
        <v>10</v>
      </c>
      <c r="G23" s="34" t="s">
        <v>882</v>
      </c>
      <c r="H23" s="34"/>
      <c r="I23" s="34" t="s">
        <v>883</v>
      </c>
      <c r="J23" s="34" t="s">
        <v>884</v>
      </c>
      <c r="K23" s="34">
        <v>16356</v>
      </c>
      <c r="L23" s="34" t="s">
        <v>435</v>
      </c>
      <c r="M23" s="34" t="s">
        <v>812</v>
      </c>
      <c r="N23" s="34"/>
      <c r="O23" s="34"/>
      <c r="P23" s="32"/>
      <c r="Q23" s="32"/>
    </row>
    <row r="24" spans="1:17" ht="62.1" customHeight="1">
      <c r="A24" s="34"/>
      <c r="B24" s="35">
        <v>46082</v>
      </c>
      <c r="C24" s="34" t="s">
        <v>885</v>
      </c>
      <c r="D24" s="34"/>
      <c r="E24" s="36"/>
      <c r="F24" s="39">
        <v>0.3</v>
      </c>
      <c r="G24" s="34"/>
      <c r="H24" s="34"/>
      <c r="I24" s="34"/>
      <c r="J24" s="34"/>
      <c r="K24" s="34"/>
      <c r="L24" s="34"/>
      <c r="M24" s="34"/>
      <c r="N24" s="34"/>
      <c r="O24" s="34"/>
      <c r="P24" s="32"/>
      <c r="Q24" s="32"/>
    </row>
    <row r="25" spans="1:17" ht="62.1" customHeight="1">
      <c r="A25" s="34" t="s">
        <v>121</v>
      </c>
      <c r="B25" s="35">
        <v>46082</v>
      </c>
      <c r="C25" s="34" t="s">
        <v>886</v>
      </c>
      <c r="D25" s="34" t="s">
        <v>453</v>
      </c>
      <c r="E25" s="36"/>
      <c r="F25" s="39">
        <v>2</v>
      </c>
      <c r="G25" s="34" t="s">
        <v>887</v>
      </c>
      <c r="H25" s="34" t="s">
        <v>888</v>
      </c>
      <c r="I25" s="34" t="s">
        <v>703</v>
      </c>
      <c r="J25" s="34" t="s">
        <v>454</v>
      </c>
      <c r="K25" s="34">
        <v>6716</v>
      </c>
      <c r="L25" s="34" t="s">
        <v>889</v>
      </c>
      <c r="M25" s="34" t="s">
        <v>872</v>
      </c>
      <c r="N25" s="34" t="s">
        <v>122</v>
      </c>
      <c r="O25" s="34"/>
      <c r="P25" s="32"/>
      <c r="Q25" s="32"/>
    </row>
    <row r="26" spans="1:17" ht="62.1" customHeight="1">
      <c r="A26" s="34" t="s">
        <v>121</v>
      </c>
      <c r="B26" s="35">
        <v>46082</v>
      </c>
      <c r="C26" s="34" t="s">
        <v>125</v>
      </c>
      <c r="D26" s="34" t="s">
        <v>464</v>
      </c>
      <c r="E26" s="36"/>
      <c r="F26" s="39">
        <v>1</v>
      </c>
      <c r="G26" s="34" t="s">
        <v>890</v>
      </c>
      <c r="H26" s="34" t="s">
        <v>891</v>
      </c>
      <c r="I26" s="34" t="s">
        <v>711</v>
      </c>
      <c r="J26" s="34" t="s">
        <v>892</v>
      </c>
      <c r="K26" s="34">
        <v>37079</v>
      </c>
      <c r="L26" s="34" t="s">
        <v>467</v>
      </c>
      <c r="M26" s="34"/>
      <c r="N26" s="34" t="s">
        <v>122</v>
      </c>
      <c r="O26" s="34"/>
      <c r="P26" s="32"/>
      <c r="Q26" s="32"/>
    </row>
    <row r="27" spans="1:17" ht="62.1" customHeight="1">
      <c r="A27" s="34" t="s">
        <v>121</v>
      </c>
      <c r="B27" s="35">
        <v>46082</v>
      </c>
      <c r="C27" s="34" t="s">
        <v>128</v>
      </c>
      <c r="D27" s="34" t="s">
        <v>472</v>
      </c>
      <c r="E27" s="36"/>
      <c r="F27" s="39">
        <v>0.25</v>
      </c>
      <c r="G27" s="34" t="s">
        <v>893</v>
      </c>
      <c r="H27" s="34" t="s">
        <v>894</v>
      </c>
      <c r="I27" s="34" t="s">
        <v>895</v>
      </c>
      <c r="J27" s="34" t="s">
        <v>473</v>
      </c>
      <c r="K27" s="34">
        <v>65719</v>
      </c>
      <c r="L27" s="34" t="s">
        <v>896</v>
      </c>
      <c r="M27" s="34" t="s">
        <v>812</v>
      </c>
      <c r="N27" s="34" t="s">
        <v>122</v>
      </c>
      <c r="O27" s="34" t="s">
        <v>132</v>
      </c>
      <c r="P27" s="32"/>
      <c r="Q27" s="32"/>
    </row>
    <row r="28" spans="1:17" ht="62.1" customHeight="1">
      <c r="A28" s="34"/>
      <c r="B28" s="35">
        <v>46113</v>
      </c>
      <c r="C28" s="34" t="s">
        <v>897</v>
      </c>
      <c r="D28" s="34" t="s">
        <v>481</v>
      </c>
      <c r="E28" s="36"/>
      <c r="F28" s="39">
        <v>288</v>
      </c>
      <c r="G28" s="34" t="s">
        <v>737</v>
      </c>
      <c r="H28" s="34"/>
      <c r="I28" s="34" t="s">
        <v>738</v>
      </c>
      <c r="J28" s="34" t="s">
        <v>482</v>
      </c>
      <c r="K28" s="34">
        <v>2271</v>
      </c>
      <c r="L28" s="34" t="s">
        <v>898</v>
      </c>
      <c r="M28" s="34" t="s">
        <v>872</v>
      </c>
      <c r="N28" s="34"/>
      <c r="O28" s="34"/>
      <c r="P28" s="32"/>
      <c r="Q28" s="32"/>
    </row>
    <row r="29" spans="1:17" ht="62.1" customHeight="1">
      <c r="A29" s="34"/>
      <c r="B29" s="35">
        <v>46143</v>
      </c>
      <c r="C29" s="34" t="s">
        <v>899</v>
      </c>
      <c r="D29" s="34" t="s">
        <v>490</v>
      </c>
      <c r="E29" s="36"/>
      <c r="F29" s="39">
        <v>1</v>
      </c>
      <c r="G29" s="34" t="s">
        <v>741</v>
      </c>
      <c r="H29" s="34"/>
      <c r="I29" s="34" t="s">
        <v>742</v>
      </c>
      <c r="J29" s="34" t="s">
        <v>491</v>
      </c>
      <c r="K29" s="34" t="s">
        <v>492</v>
      </c>
      <c r="L29" s="34" t="s">
        <v>493</v>
      </c>
      <c r="M29" s="34" t="s">
        <v>812</v>
      </c>
      <c r="N29" s="34"/>
      <c r="O29" s="34"/>
      <c r="P29" s="32"/>
      <c r="Q29" s="32"/>
    </row>
    <row r="30" spans="1:17" ht="62.1" customHeight="1">
      <c r="A30" s="34"/>
      <c r="B30" s="35">
        <v>46143</v>
      </c>
      <c r="C30" s="34" t="s">
        <v>900</v>
      </c>
      <c r="D30" s="34" t="s">
        <v>499</v>
      </c>
      <c r="E30" s="36"/>
      <c r="F30" s="39">
        <v>2</v>
      </c>
      <c r="G30" s="34" t="s">
        <v>901</v>
      </c>
      <c r="H30" s="34"/>
      <c r="I30" s="34" t="s">
        <v>902</v>
      </c>
      <c r="J30" s="34" t="s">
        <v>903</v>
      </c>
      <c r="K30" s="34" t="s">
        <v>501</v>
      </c>
      <c r="L30" s="34" t="s">
        <v>213</v>
      </c>
      <c r="M30" s="34" t="s">
        <v>812</v>
      </c>
      <c r="N30" s="34"/>
      <c r="O30" s="34"/>
      <c r="P30" s="32"/>
      <c r="Q30" s="32"/>
    </row>
    <row r="31" spans="1:17" ht="62.1" customHeight="1">
      <c r="A31" s="34"/>
      <c r="B31" s="35">
        <v>46143</v>
      </c>
      <c r="C31" s="34" t="s">
        <v>904</v>
      </c>
      <c r="D31" s="34" t="s">
        <v>905</v>
      </c>
      <c r="E31" s="36"/>
      <c r="F31" s="39">
        <v>10</v>
      </c>
      <c r="G31" s="34" t="s">
        <v>906</v>
      </c>
      <c r="H31" s="34"/>
      <c r="I31" s="34" t="s">
        <v>907</v>
      </c>
      <c r="J31" s="34" t="s">
        <v>908</v>
      </c>
      <c r="K31" s="34" t="s">
        <v>509</v>
      </c>
      <c r="L31" s="34" t="s">
        <v>510</v>
      </c>
      <c r="M31" s="34" t="s">
        <v>812</v>
      </c>
      <c r="N31" s="34"/>
      <c r="O31" s="34"/>
      <c r="P31" s="32"/>
      <c r="Q31" s="32"/>
    </row>
    <row r="32" spans="1:17" ht="62.1" customHeight="1">
      <c r="A32" s="34"/>
      <c r="B32" s="35">
        <v>46174</v>
      </c>
      <c r="C32" s="34" t="s">
        <v>909</v>
      </c>
      <c r="D32" s="34" t="s">
        <v>910</v>
      </c>
      <c r="E32" s="36"/>
      <c r="F32" s="39">
        <v>10</v>
      </c>
      <c r="G32" s="34" t="s">
        <v>911</v>
      </c>
      <c r="H32" s="34"/>
      <c r="I32" s="34" t="s">
        <v>912</v>
      </c>
      <c r="J32" s="34" t="s">
        <v>519</v>
      </c>
      <c r="K32" s="34" t="s">
        <v>520</v>
      </c>
      <c r="L32" s="34" t="s">
        <v>521</v>
      </c>
      <c r="M32" s="34" t="s">
        <v>812</v>
      </c>
      <c r="N32" s="34"/>
      <c r="O32" s="34"/>
      <c r="P32" s="32"/>
      <c r="Q32" s="32"/>
    </row>
    <row r="33" spans="1:17" ht="62.1" customHeight="1">
      <c r="A33" s="34"/>
      <c r="B33" s="35">
        <v>46174</v>
      </c>
      <c r="C33" s="34" t="s">
        <v>913</v>
      </c>
      <c r="D33" s="34" t="s">
        <v>431</v>
      </c>
      <c r="E33" s="36"/>
      <c r="F33" s="39">
        <v>17</v>
      </c>
      <c r="G33" s="34" t="s">
        <v>882</v>
      </c>
      <c r="H33" s="34"/>
      <c r="I33" s="34" t="s">
        <v>883</v>
      </c>
      <c r="J33" s="34" t="s">
        <v>884</v>
      </c>
      <c r="K33" s="34">
        <v>16356</v>
      </c>
      <c r="L33" s="34" t="s">
        <v>435</v>
      </c>
      <c r="M33" s="34" t="s">
        <v>812</v>
      </c>
      <c r="N33" s="34"/>
      <c r="O33" s="34"/>
      <c r="P33" s="32"/>
      <c r="Q33" s="32"/>
    </row>
    <row r="34" spans="1:17" ht="62.1" customHeight="1">
      <c r="A34" s="34" t="s">
        <v>164</v>
      </c>
      <c r="B34" s="35">
        <v>46174</v>
      </c>
      <c r="C34" s="34" t="s">
        <v>161</v>
      </c>
      <c r="D34" s="34" t="s">
        <v>527</v>
      </c>
      <c r="E34" s="36">
        <v>46175</v>
      </c>
      <c r="F34" s="39"/>
      <c r="G34" s="34" t="s">
        <v>775</v>
      </c>
      <c r="H34" s="34" t="s">
        <v>914</v>
      </c>
      <c r="I34" s="34" t="s">
        <v>776</v>
      </c>
      <c r="J34" s="34" t="s">
        <v>529</v>
      </c>
      <c r="K34" s="34">
        <v>22297</v>
      </c>
      <c r="L34" s="34" t="s">
        <v>531</v>
      </c>
      <c r="M34" s="34" t="s">
        <v>812</v>
      </c>
      <c r="N34" s="34"/>
      <c r="O34" s="34"/>
      <c r="P34" s="32"/>
      <c r="Q34" s="32"/>
    </row>
    <row r="35" spans="1:17" ht="62.1" customHeight="1">
      <c r="A35" s="34" t="s">
        <v>164</v>
      </c>
      <c r="B35" s="35">
        <v>46204</v>
      </c>
      <c r="C35" s="34" t="s">
        <v>915</v>
      </c>
      <c r="D35" s="34" t="s">
        <v>537</v>
      </c>
      <c r="E35" s="36">
        <v>46216</v>
      </c>
      <c r="F35" s="39"/>
      <c r="G35" s="34" t="s">
        <v>916</v>
      </c>
      <c r="H35" s="34" t="s">
        <v>917</v>
      </c>
      <c r="I35" s="34" t="s">
        <v>781</v>
      </c>
      <c r="J35" s="34" t="s">
        <v>538</v>
      </c>
      <c r="K35" s="34">
        <v>22761</v>
      </c>
      <c r="L35" s="34" t="s">
        <v>531</v>
      </c>
      <c r="M35" s="34" t="s">
        <v>812</v>
      </c>
      <c r="N35" s="34"/>
      <c r="O35" s="34"/>
      <c r="P35" s="32"/>
      <c r="Q35" s="32"/>
    </row>
    <row r="36" spans="1:17" ht="62.1" customHeight="1">
      <c r="A36" s="34" t="s">
        <v>164</v>
      </c>
      <c r="B36" s="35">
        <v>46204</v>
      </c>
      <c r="C36" s="34" t="s">
        <v>918</v>
      </c>
      <c r="D36" s="34" t="s">
        <v>919</v>
      </c>
      <c r="E36" s="36">
        <v>46209</v>
      </c>
      <c r="F36" s="39"/>
      <c r="G36" s="34" t="s">
        <v>920</v>
      </c>
      <c r="H36" s="34" t="s">
        <v>921</v>
      </c>
      <c r="I36" s="34" t="s">
        <v>788</v>
      </c>
      <c r="J36" s="34" t="s">
        <v>546</v>
      </c>
      <c r="K36" s="34">
        <v>20457</v>
      </c>
      <c r="L36" s="34" t="s">
        <v>531</v>
      </c>
      <c r="M36" s="34" t="s">
        <v>812</v>
      </c>
      <c r="N36" s="34"/>
      <c r="O36" s="34"/>
      <c r="P36" s="32"/>
      <c r="Q36" s="32"/>
    </row>
    <row r="37" spans="1:17" ht="62.1" customHeight="1">
      <c r="A37" s="34" t="s">
        <v>164</v>
      </c>
      <c r="B37" s="35">
        <v>46204</v>
      </c>
      <c r="C37" s="34" t="s">
        <v>177</v>
      </c>
      <c r="D37" s="34"/>
      <c r="E37" s="36"/>
      <c r="F37" s="39"/>
      <c r="G37" s="34"/>
      <c r="H37" s="34"/>
      <c r="I37" s="34"/>
      <c r="J37" s="34"/>
      <c r="K37" s="34"/>
      <c r="L37" s="34"/>
      <c r="M37" s="34"/>
      <c r="N37" s="34"/>
      <c r="O37" s="34"/>
      <c r="P37" s="32"/>
      <c r="Q37" s="32"/>
    </row>
    <row r="38" spans="1:17" ht="62.1" customHeight="1">
      <c r="A38" s="34" t="s">
        <v>185</v>
      </c>
      <c r="B38" s="35">
        <v>46204</v>
      </c>
      <c r="C38" s="34" t="s">
        <v>182</v>
      </c>
      <c r="D38" s="34"/>
      <c r="E38" s="36"/>
      <c r="F38" s="39"/>
      <c r="G38" s="34" t="s">
        <v>792</v>
      </c>
      <c r="H38" s="34"/>
      <c r="I38" s="34"/>
      <c r="J38" s="34"/>
      <c r="K38" s="34"/>
      <c r="L38" s="34"/>
      <c r="M38" s="34"/>
      <c r="N38" s="34"/>
      <c r="O38" s="34"/>
      <c r="P38" s="32"/>
      <c r="Q38" s="32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9E714BD913AD4C93CC51C1FFEDB422" ma:contentTypeVersion="10" ma:contentTypeDescription="Ein neues Dokument erstellen." ma:contentTypeScope="" ma:versionID="99fa255dc34f7153b392ac01480b273e">
  <xsd:schema xmlns:xsd="http://www.w3.org/2001/XMLSchema" xmlns:xs="http://www.w3.org/2001/XMLSchema" xmlns:p="http://schemas.microsoft.com/office/2006/metadata/properties" xmlns:ns2="2c61e783-45f9-401b-b3d6-7451547b154d" xmlns:ns3="49360293-86bd-4897-86a4-8e164d460fa9" targetNamespace="http://schemas.microsoft.com/office/2006/metadata/properties" ma:root="true" ma:fieldsID="bddca0d582efbca812b0af9d3eae13fe" ns2:_="" ns3:_="">
    <xsd:import namespace="2c61e783-45f9-401b-b3d6-7451547b154d"/>
    <xsd:import namespace="49360293-86bd-4897-86a4-8e164d460f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1e783-45f9-401b-b3d6-7451547b15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781d3b62-7dff-4bcf-a982-6906775b49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60293-86bd-4897-86a4-8e164d460f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861cf0-5a28-41fc-a080-1f2e896c2d28}" ma:internalName="TaxCatchAll" ma:showField="CatchAllData" ma:web="49360293-86bd-4897-86a4-8e164d460f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1e783-45f9-401b-b3d6-7451547b154d">
      <Terms xmlns="http://schemas.microsoft.com/office/infopath/2007/PartnerControls"/>
    </lcf76f155ced4ddcb4097134ff3c332f>
    <TaxCatchAll xmlns="49360293-86bd-4897-86a4-8e164d460fa9" xsi:nil="true"/>
  </documentManagement>
</p:properties>
</file>

<file path=customXml/itemProps1.xml><?xml version="1.0" encoding="utf-8"?>
<ds:datastoreItem xmlns:ds="http://schemas.openxmlformats.org/officeDocument/2006/customXml" ds:itemID="{FC978A7C-C300-48D9-93CC-327C4436B3E9}"/>
</file>

<file path=customXml/itemProps2.xml><?xml version="1.0" encoding="utf-8"?>
<ds:datastoreItem xmlns:ds="http://schemas.openxmlformats.org/officeDocument/2006/customXml" ds:itemID="{CF5CA0B4-758E-44EB-8C63-EFAB07A89ED8}"/>
</file>

<file path=customXml/itemProps3.xml><?xml version="1.0" encoding="utf-8"?>
<ds:datastoreItem xmlns:ds="http://schemas.openxmlformats.org/officeDocument/2006/customXml" ds:itemID="{02FC2421-FE31-4230-9759-0BFC50400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Björn Gallenkamp</cp:lastModifiedBy>
  <cp:revision/>
  <dcterms:created xsi:type="dcterms:W3CDTF">2026-09-26T22:59:29Z</dcterms:created>
  <dcterms:modified xsi:type="dcterms:W3CDTF">2026-09-26T22:59:29Z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0x010100CF9E714BD913AD4C93CC51C1FFEDB422</vt:lpwstr>
  </property>
  <property fmtid="{D5CDD505-2E9C-101B-9397-08002B2CF9AE}" pid="3" name="MediaServiceImageTags">
    <vt:lpwstr/>
  </property>
</Properties>
</file>